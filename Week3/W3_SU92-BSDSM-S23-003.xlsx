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Shipments_Unified" sheetId="2" r:id="rId6"/>
    <sheet state="visible" name="T1 Classify" sheetId="3" r:id="rId7"/>
    <sheet state="visible" name="T2 Grain" sheetId="4" r:id="rId8"/>
    <sheet state="visible" name="T3 Additivity" sheetId="5" r:id="rId9"/>
    <sheet state="visible" name="T4 DimCity" sheetId="6" r:id="rId10"/>
    <sheet state="visible" name="T5 Other Dimensions" sheetId="7" r:id="rId11"/>
    <sheet state="visible" name="T6 FactShipment" sheetId="8" r:id="rId12"/>
    <sheet state="visible" name="T7 Reconcile" sheetId="9" r:id="rId13"/>
  </sheets>
  <definedNames/>
  <calcPr/>
</workbook>
</file>

<file path=xl/sharedStrings.xml><?xml version="1.0" encoding="utf-8"?>
<sst xmlns="http://schemas.openxmlformats.org/spreadsheetml/2006/main" count="1291" uniqueCount="548">
  <si>
    <t>PakFreight Star Builder — Week 3 Activity</t>
  </si>
  <si>
    <t>T1  ·  Fact, Dimension, Degenerate or Drop?</t>
  </si>
  <si>
    <t>T2  ·  Declare the Grain</t>
  </si>
  <si>
    <t>Shipments_Unified  —  the Week 2 output</t>
  </si>
  <si>
    <t>Data Warehousing &amp; Business Intelligence · Week 3 — Fact &amp; Dimension Tables · CLO2 · The Superior University, Lahore</t>
  </si>
  <si>
    <t>34 rows · 578,650 kg · PKR 4,808,000. Grey means source data: read it, point formulas at it, never edit it. This whole sheet becomes FactShipment in T6.</t>
  </si>
  <si>
    <t>The single most consequential sentence in warehouse design. Write it for PakFreight, then for four processes PakFreight wants to add next. Use the template: 'One row per …'. If your sentence needs the word 'and', you have described two fact tables.</t>
  </si>
  <si>
    <t>PakFreight's operations team wants twelve more columns added to the warehouse. For each one write F (fact / measure), D (dimension attribute), DD (degenerate dimension) or X (belongs in neither), name the table it should live in, and defend it in one line. Four of the twelve are deliberately tricky.</t>
  </si>
  <si>
    <t>THE SITUATION</t>
  </si>
  <si>
    <t>ShipmentID</t>
  </si>
  <si>
    <t>PART A  ·  THE PAKFREIGHT GRAIN STATEMENT</t>
  </si>
  <si>
    <t>#</t>
  </si>
  <si>
    <t>Week 2 ended with one flat table: Shipments_Unified, 34 rows, 578,650 kg, PKR 4,808,000. It answers simple questions and fails at every interesting one — there is no province column, no month column, Karachi is spelled five different ways, and nothing in it remembers what a route used to be called. Today you split it into one fact table and five dimensions, and the totals must not move by a single kilogram.</t>
  </si>
  <si>
    <t>ShipDate</t>
  </si>
  <si>
    <t>Column the team asked for</t>
  </si>
  <si>
    <t>Origin</t>
  </si>
  <si>
    <t>One row of FactShipment represents…</t>
  </si>
  <si>
    <t>Destination</t>
  </si>
  <si>
    <t>F / D / DD / X</t>
  </si>
  <si>
    <t>WeightKG</t>
  </si>
  <si>
    <t>Which table does it live in?</t>
  </si>
  <si>
    <t>CostPKR</t>
  </si>
  <si>
    <t>Status</t>
  </si>
  <si>
    <t>Your one-line justification</t>
  </si>
  <si>
    <t>SourceSystem</t>
  </si>
  <si>
    <t>HOW TO WORK</t>
  </si>
  <si>
    <t>One row per shipment leg.</t>
  </si>
  <si>
    <t>MR-1001</t>
  </si>
  <si>
    <t>•  Teams of 3. Name one person each: Modeller (owns the grain), Conformer (owns DimCity), Reconciler (owns T7 and has veto power over 'it looks fine').</t>
  </si>
  <si>
    <t>Driver_Name</t>
  </si>
  <si>
    <t>•  Do the tasks in order. T6 cannot be filled in before T4 and T5 exist — that is not a quirk of this workbook, it is why dimensions are always loaded before facts.</t>
  </si>
  <si>
    <t>•  Type only in CREAM cells. GREY cells are source data as received — never edit them.</t>
  </si>
  <si>
    <t>Karachi Port</t>
  </si>
  <si>
    <t>•  T7 marks itself. Every '✘ fix' means something earlier is still wrong. Do not submit with a red cell and a hopeful note.</t>
  </si>
  <si>
    <t>Lahore Dry Port</t>
  </si>
  <si>
    <t>•  Save as  W3_Star_&lt;team number&gt;.xlsx  and submit on the LMS before Week 4, with the Power BI file described in PakFreight_W3_PowerBI_Lab_Guide.md.</t>
  </si>
  <si>
    <t>Delivered</t>
  </si>
  <si>
    <t>THE SEVEN TASKS</t>
  </si>
  <si>
    <t>Marine</t>
  </si>
  <si>
    <t>MR-1002</t>
  </si>
  <si>
    <t>Port Qasim</t>
  </si>
  <si>
    <t>Faisalabad Dry Port</t>
  </si>
  <si>
    <t>MR-1003</t>
  </si>
  <si>
    <t>In Transit</t>
  </si>
  <si>
    <t>MR-1004</t>
  </si>
  <si>
    <t>Gwadar Port</t>
  </si>
  <si>
    <t>Quetta</t>
  </si>
  <si>
    <t>Task</t>
  </si>
  <si>
    <t>MR-1005</t>
  </si>
  <si>
    <t>What you produce</t>
  </si>
  <si>
    <t>Multan</t>
  </si>
  <si>
    <t>180-min class</t>
  </si>
  <si>
    <t>120-min class</t>
  </si>
  <si>
    <t>MR-1006</t>
  </si>
  <si>
    <t>Where it comes from in the lecture</t>
  </si>
  <si>
    <t>Sialkot Dry Port</t>
  </si>
  <si>
    <t>Delayed</t>
  </si>
  <si>
    <t>T1</t>
  </si>
  <si>
    <t>MR-1007</t>
  </si>
  <si>
    <t>MR-1008</t>
  </si>
  <si>
    <t>Classify every column</t>
  </si>
  <si>
    <t>Peshawar</t>
  </si>
  <si>
    <t>Fact, dimension attribute, degenerate or drop</t>
  </si>
  <si>
    <t>MR-1009</t>
  </si>
  <si>
    <t>Karachi Cantt</t>
  </si>
  <si>
    <t>MR-1010</t>
  </si>
  <si>
    <t>Islamabad Dry Port</t>
  </si>
  <si>
    <t>Slides 9-17 · what belongs where</t>
  </si>
  <si>
    <t>D</t>
  </si>
  <si>
    <t>MR-1011</t>
  </si>
  <si>
    <t>T2</t>
  </si>
  <si>
    <t>Declare the grain</t>
  </si>
  <si>
    <t>Hyderabad</t>
  </si>
  <si>
    <t>One sentence, no 'and' — for PakFreight and 4 new processes</t>
  </si>
  <si>
    <t>MR-1012</t>
  </si>
  <si>
    <t>Slides 19-24 · Kimball's four steps</t>
  </si>
  <si>
    <t>T3</t>
  </si>
  <si>
    <t>Additivity audit</t>
  </si>
  <si>
    <t>Additive, semi-additive, non-additive — and prove the ratio trap</t>
  </si>
  <si>
    <t>RL-45012</t>
  </si>
  <si>
    <t>Slide 10 · 8.06 vs 8.31</t>
  </si>
  <si>
    <t>T4</t>
  </si>
  <si>
    <t>Lahore</t>
  </si>
  <si>
    <t>Build DimCity</t>
  </si>
  <si>
    <t>Conform 23 raw location strings into 14 cities, mint the keys</t>
  </si>
  <si>
    <t>Rail</t>
  </si>
  <si>
    <t>RL-45013</t>
  </si>
  <si>
    <t>Slides 11, 30, 43 · surrogate keys</t>
  </si>
  <si>
    <t>T5</t>
  </si>
  <si>
    <t>Build the other four dimensions</t>
  </si>
  <si>
    <t>DimRoute, DimMode, DimStatus, DimDate</t>
  </si>
  <si>
    <t>Rawalpindi</t>
  </si>
  <si>
    <t>DimDriver</t>
  </si>
  <si>
    <t>Slides 31-34, 38, 44</t>
  </si>
  <si>
    <t>T6</t>
  </si>
  <si>
    <t>RL-45014</t>
  </si>
  <si>
    <t>Build FactShipment</t>
  </si>
  <si>
    <t>Descriptive text about who performed the delivery belongs in a dimension table.</t>
  </si>
  <si>
    <t>Pipri Marshalling Yard</t>
  </si>
  <si>
    <t>Swap every text column for an integer key</t>
  </si>
  <si>
    <t>Faisalabad</t>
  </si>
  <si>
    <t>Slides 9, 44 · merge on the key only</t>
  </si>
  <si>
    <t>T7</t>
  </si>
  <si>
    <t>Reconcile</t>
  </si>
  <si>
    <t>RL-45015</t>
  </si>
  <si>
    <t>Thirteen checks. All thirteen must read 'pass'</t>
  </si>
  <si>
    <t>Days_Late</t>
  </si>
  <si>
    <t>Slide 46 · validate before you trust</t>
  </si>
  <si>
    <t>RL-45016</t>
  </si>
  <si>
    <t>Total minutes</t>
  </si>
  <si>
    <t>RL-45017</t>
  </si>
  <si>
    <t>F</t>
  </si>
  <si>
    <t>Peshawar Cantt</t>
  </si>
  <si>
    <t>RL-45018</t>
  </si>
  <si>
    <t>RL-45019</t>
  </si>
  <si>
    <t>COLOUR LEGEND</t>
  </si>
  <si>
    <t>RL-45020</t>
  </si>
  <si>
    <t>FactShipment</t>
  </si>
  <si>
    <t>Sukkur</t>
  </si>
  <si>
    <t>Why 'leg' and not 'shipment'? MR-1009 moves Gwadar → Karachi and RD-508 moves Quetta → Karachi. If a single customer consignment is later carried marine-then-road, 'one row per shipment' becomes ambiguous the day PakFreight sells multi-modal freight — and the grain you declare today is the one the CFO's 2027 reports will be built on.</t>
  </si>
  <si>
    <t>RL-45021</t>
  </si>
  <si>
    <t>A numerical performance measurement of delivery delay that can be aggregated.</t>
  </si>
  <si>
    <t>Invoice_Number</t>
  </si>
  <si>
    <t>RD-501</t>
  </si>
  <si>
    <t>Islamabad</t>
  </si>
  <si>
    <t>You type here</t>
  </si>
  <si>
    <t>DD</t>
  </si>
  <si>
    <t>Road</t>
  </si>
  <si>
    <t>RD-502</t>
  </si>
  <si>
    <t>Karachi</t>
  </si>
  <si>
    <t>An operational tracking identifier stored directly in the fact table without its own dimension.</t>
  </si>
  <si>
    <t>Source data — do not edit</t>
  </si>
  <si>
    <t>Discount_Percent</t>
  </si>
  <si>
    <t>RD-503</t>
  </si>
  <si>
    <t>X</t>
  </si>
  <si>
    <t>None (Drop)</t>
  </si>
  <si>
    <t>Percentages cannot be added across rows; store raw currency/amounts instead.</t>
  </si>
  <si>
    <t>PART B  ·  FOUR NEW PROCESSES — GRAIN, DIMENSIONS, MEASURES, FACT TYPE</t>
  </si>
  <si>
    <t>RD-504</t>
  </si>
  <si>
    <t>Truck_Registration_No</t>
  </si>
  <si>
    <t>✔ pass — check satisfied</t>
  </si>
  <si>
    <t>RD-505</t>
  </si>
  <si>
    <t>DimTruck</t>
  </si>
  <si>
    <t>Looks like a key, but it describes a physical truck entity containing multiple attributes.</t>
  </si>
  <si>
    <t>RD-506</t>
  </si>
  <si>
    <t>Container_Count</t>
  </si>
  <si>
    <t>✘ fix — go back and correct it</t>
  </si>
  <si>
    <t>RD-507</t>
  </si>
  <si>
    <t>Business process</t>
  </si>
  <si>
    <t>An additive numeric measure representing the physical count of containers shipped.</t>
  </si>
  <si>
    <t>Grain sentence (one row per …)</t>
  </si>
  <si>
    <t>Sialkot</t>
  </si>
  <si>
    <t>Dimensions it implies</t>
  </si>
  <si>
    <t>Customer_Credit_Rating</t>
  </si>
  <si>
    <t>Two measures</t>
  </si>
  <si>
    <t>Model answer (teacher key only)</t>
  </si>
  <si>
    <t>RD-508</t>
  </si>
  <si>
    <t>Fact table type + why</t>
  </si>
  <si>
    <t>DimCustomer</t>
  </si>
  <si>
    <t>THE GRAIN CONTRACT — WRITE IT ONCE, OBEY IT EVERYWHERE</t>
  </si>
  <si>
    <t>Descriptive customer attribute categorizing risk profile, stored in the customer dimension.</t>
  </si>
  <si>
    <t>RD-509</t>
  </si>
  <si>
    <t>Cost_Per_Tonne_KM</t>
  </si>
  <si>
    <t>RD-510</t>
  </si>
  <si>
    <t>Fuel purchases at PakFreight depots</t>
  </si>
  <si>
    <t>A pre-calculated unit rate/ratio; rates are only valid at their original level.</t>
  </si>
  <si>
    <t>Gujranwala</t>
  </si>
  <si>
    <t>Row_Inserted_Timestamp</t>
  </si>
  <si>
    <t>Decision</t>
  </si>
  <si>
    <t>Your answer (T2 fills this in)</t>
  </si>
  <si>
    <t>RD-511</t>
  </si>
  <si>
    <t>One row per depot fuel transaction.</t>
  </si>
  <si>
    <t>Why it matters</t>
  </si>
  <si>
    <t>RD-512</t>
  </si>
  <si>
    <t>Abbottabad</t>
  </si>
  <si>
    <t>Freight shipment movement</t>
  </si>
  <si>
    <t>DimDepot, DimVehicle, DimDriver, DimDate</t>
  </si>
  <si>
    <t>LitersPurchased, TotalFuelCost</t>
  </si>
  <si>
    <t>TOTAL</t>
  </si>
  <si>
    <t>Technical ETL audit metadata stored directly in the fact table for data lineage and pipeline monitoring..</t>
  </si>
  <si>
    <t>Step 1 of Kimball's four steps — pick a process, not a department.</t>
  </si>
  <si>
    <t>Fuel_Surcharge_PKR</t>
  </si>
  <si>
    <t>Grain (one row = ?)</t>
  </si>
  <si>
    <t>A monetary cost value that is fully additive and safe to sum as a fact.</t>
  </si>
  <si>
    <t>Weather_Condition</t>
  </si>
  <si>
    <t>Transaction fact table, because an event occurs at a specific point in time whenever fuel is purchased.</t>
  </si>
  <si>
    <t>DimWeather</t>
  </si>
  <si>
    <t>Descriptive environmental context characterizing the delivery day.</t>
  </si>
  <si>
    <t>Step 2. If your sentence needs the word 'and', you have two fact tables.</t>
  </si>
  <si>
    <t>Fact table type</t>
  </si>
  <si>
    <t>Is_Hazardous_Cargo</t>
  </si>
  <si>
    <t>Hint:  Is the grain one fuel purchase, one litre, or one truck per week?</t>
  </si>
  <si>
    <t>Transaction, periodic snapshot or accumulating snapshot.</t>
  </si>
  <si>
    <t>Dimensions</t>
  </si>
  <si>
    <t>Driver duty hours and rest compliance</t>
  </si>
  <si>
    <t>One row per driver daily duty shift.</t>
  </si>
  <si>
    <t>Step 3 — and they must follow from the grain, not from your imagination.</t>
  </si>
  <si>
    <t>Measures</t>
  </si>
  <si>
    <t>DimDriver, DimVehicle, DimDate</t>
  </si>
  <si>
    <t>Low-cardinality boolean flag stored directly in the fact table as a degenerate dimension to avoid unnecessary dimension bloat.</t>
  </si>
  <si>
    <t>DutyHours, RestHours</t>
  </si>
  <si>
    <t>Step 4 — additive wherever you can manage it.</t>
  </si>
  <si>
    <t>Transaction fact table, because it logs each individual daily duty/shift event completed by a driver.</t>
  </si>
  <si>
    <t>Count the distinct dates in column B. There are 12 — not 28. February 2026 has 28 days and PakFreight dispatched nothing on 16 of them. Any 'average per day' computed from this sheet divides by the wrong number, silently. That is what DimDate in T5 is for.</t>
  </si>
  <si>
    <t>Answered so far</t>
  </si>
  <si>
    <t>Hint:  Regulators care about a rolling 14-day window. Does that change the grain, or only the measures?</t>
  </si>
  <si>
    <t>Customer complaints about late delivery</t>
  </si>
  <si>
    <t>One row per customer complaint.</t>
  </si>
  <si>
    <t>DimCustomer, DimDate, DimComplaintType, plus BridgeComplaintShipment (Bridge Table)</t>
  </si>
  <si>
    <t>ComplaintCount (or 1), ResolutionTimeHours</t>
  </si>
  <si>
    <t>Transaction fact table, because each complaint logged is an individual operational event. Needs a bridge table because one complaint can link to multiple shipments.</t>
  </si>
  <si>
    <t>Hint:  One complaint can reference several shipments. Where does that relationship live?</t>
  </si>
  <si>
    <t>Daily warehouse stock levels at Lahore Dry Port</t>
  </si>
  <si>
    <t>One row per product per day per warehouse location.</t>
  </si>
  <si>
    <t>DimProduct, DimLocation, DimDate</t>
  </si>
  <si>
    <t>QuantityOnHand, ReservedQuantity</t>
  </si>
  <si>
    <t>Periodic snapshot fact table, because stock levels are captured at regular time intervals (daily) even when no transaction occurs.</t>
  </si>
  <si>
    <t>Hint:  Nothing 'happens' on a quiet day — but you still need a number. Which fact shape is this?</t>
  </si>
  <si>
    <t>DEFEND YOUR ANSWERS — THE THREE QUESTIONS WE WILL ASK</t>
  </si>
  <si>
    <t>PART C  ·  THE GRAIN THAT WENT WRONG — A 20-SECOND CASE</t>
  </si>
  <si>
    <t>Which of your X answers would a real analyst fight you over, and what is their best argument?</t>
  </si>
  <si>
    <t>A PakFreight analyst needs cost per customer, so he adds CustomerName to FactShipment. Two shipments on RD-501 are billed to two customers who split the truck. He cannot choose, so he duplicates the row — once per customer. The table now has 35 rows, total weight reads 585,150 kg, and every weight report in the company is overstated by 6,500 kg forever.
In one line each: (a) what rule did he break?  (b) what should he have built instead?  (c) which of T7's twelve checks would have caught it?</t>
  </si>
  <si>
    <t>Cost_Per_Tonne_KM. Analysts will argue that keeping this pre-calculated metric saves query time and ensures everyone uses the exact same efficiency formula.</t>
  </si>
  <si>
    <t>Name one column you marked D that deserves its own dimension table, and three attributes it would carry.</t>
  </si>
  <si>
    <t>Truck_Registration_No. It deserves DimTruck, which would carry: Truck_Model, Max_Weight_Capacity, and Fuel_Type.</t>
  </si>
  <si>
    <r>
      <rPr>
        <rFont val="Calibri"/>
        <b/>
        <color theme="1"/>
        <sz val="12.0"/>
      </rPr>
      <t>(a)</t>
    </r>
    <r>
      <rPr>
        <rFont val="Calibri"/>
        <color theme="1"/>
        <sz val="10.0"/>
      </rPr>
      <t xml:space="preserve"> He broke the rule: "Never put descriptive text in a fact table" and violated the table's grain by duplicating rows to handle multiple entities.     </t>
    </r>
    <r>
      <rPr>
        <rFont val="Calibri"/>
        <b/>
        <color theme="1"/>
        <sz val="12.0"/>
      </rPr>
      <t xml:space="preserve">                                                                                                                                        (b)</t>
    </r>
    <r>
      <rPr>
        <rFont val="Calibri"/>
        <color theme="1"/>
        <sz val="10.0"/>
      </rPr>
      <t xml:space="preserve"> He should have kept DimCustomer separate and built a Bridge Table between shipments and customers to handle the many-to-many splitting without duplicating fact rows.                                                                                                                 </t>
    </r>
    <r>
      <rPr>
        <rFont val="Calibri"/>
        <b/>
        <color theme="1"/>
        <sz val="12.0"/>
      </rPr>
      <t xml:space="preserve">(c) </t>
    </r>
    <r>
      <rPr>
        <rFont val="Calibri"/>
        <color theme="1"/>
        <sz val="10.0"/>
      </rPr>
      <t>The Reconciliation / Total Weight Check (which checks that overall totals do not shift or overstate).</t>
    </r>
  </si>
  <si>
    <t>If Days_Late is a fact, which dimension supplies the deadline it is measured against?</t>
  </si>
  <si>
    <t>Marking, 12 marks: Part A grain sentence 3 · Part B 1.5 per process (grain 0.75, dimensions 0.5, measures 0.25) · Part C 3 · bonus 1 for spotting that #4 is a periodic snapshot and #3 needs a bridge table. A sentence containing 'and' loses the grain mark however good the rest is.</t>
  </si>
  <si>
    <t>DimDate (via the scheduled or planned delivery date attribute).</t>
  </si>
  <si>
    <t>Marking: 6 marks for the twelve verdicts (half a mark each), 3 marks for the justifications, 3 marks for the three questions. A wrong verdict with a sharp justification scores more than a right verdict with none — the reasoning is the skill.</t>
  </si>
  <si>
    <t>T3  ·  Additivity Audit  —  and the ratio that lies by 3%</t>
  </si>
  <si>
    <t>A measure is only useful once you know which dimensions you may add it across. Classify ten measures, then prove the ratio trap on PakFreight's own 34 rows.</t>
  </si>
  <si>
    <t>Candidate measure</t>
  </si>
  <si>
    <t>Additive / Semi / Non</t>
  </si>
  <si>
    <t>Safe to SUM across time?</t>
  </si>
  <si>
    <t>What should you store instead?</t>
  </si>
  <si>
    <t>Notes / your reasoning</t>
  </si>
  <si>
    <t>Additive</t>
  </si>
  <si>
    <t>Yes</t>
  </si>
  <si>
    <t>WeightKG (store as-is)</t>
  </si>
  <si>
    <t>Can be aggregated across any dimension and time period without loss of meaning.</t>
  </si>
  <si>
    <t>FreightCostPKR</t>
  </si>
  <si>
    <t>FreightCostPKR (store as-is)</t>
  </si>
  <si>
    <t>Financial amounts are fully additive across both entities and time.</t>
  </si>
  <si>
    <t>ShipmentCount (=1)</t>
  </si>
  <si>
    <t>T5  ·  DimRoute, DimMode, DimStatus, DimDate</t>
  </si>
  <si>
    <t>ShipmentCount</t>
  </si>
  <si>
    <t>Acting as a counter (1 per row), it can be freely summed to get total transaction volume.</t>
  </si>
  <si>
    <t>TrucksAvailable at a depot</t>
  </si>
  <si>
    <t>Semi-additive</t>
  </si>
  <si>
    <t>No</t>
  </si>
  <si>
    <t>TrucksAvailable (stock snapshot)</t>
  </si>
  <si>
    <t>Stock levels can be added across depots at a point in time, but cannot be summed across days.</t>
  </si>
  <si>
    <t>WarehouseStockKG</t>
  </si>
  <si>
    <t>WarehouseStockKG (inventory balance)</t>
  </si>
  <si>
    <t>Similar to truck availability; valid across locations for a single moment, but invalid to sum across time.</t>
  </si>
  <si>
    <t>Four more dimensions. One of them contains a trap that the lecture slides walk straight past — find it in Block A before you fill anything in.</t>
  </si>
  <si>
    <t>CostPerKG</t>
  </si>
  <si>
    <t>Non-additive</t>
  </si>
  <si>
    <t>FreightCostPKR and WeightKG</t>
  </si>
  <si>
    <t>A ratio/average. Summing rates across rows creates a mathematically invalid percentage/rate.</t>
  </si>
  <si>
    <t>OnTimePercent</t>
  </si>
  <si>
    <t>OnTimeCount and TotalShipments</t>
  </si>
  <si>
    <t>Percentages cannot be averaged across shipments or time; store component counts instead.</t>
  </si>
  <si>
    <t>TruckUtilisationRate</t>
  </si>
  <si>
    <t>UsedCapacity and TotalCapacity</t>
  </si>
  <si>
    <t>Another utilization ratio that breaks if summed directly across trips.</t>
  </si>
  <si>
    <t>BLOCK A  ·  DIMROUTE  —  20 ROWS.  BUT THE RAW DATA HAS 30 DISTINCT PAIRS.</t>
  </si>
  <si>
    <t>Days_Late (can be summed across shipments)</t>
  </si>
  <si>
    <t>Represents total delay duration, which can be safely summed and averaged later.</t>
  </si>
  <si>
    <t>AverageWeightPerShipment</t>
  </si>
  <si>
    <t>WeightKG and ShipmentCount</t>
  </si>
  <si>
    <t>Stored pre-calculated averages destroy underlying granularity and cannot be re-rolled up.</t>
  </si>
  <si>
    <t>THE PROOF  ·  AVERAGE OF A RATIO vs RATIO OF TWO SUMS  —  SAME 34 ROWS, TWO DIFFERENT ANSWERS</t>
  </si>
  <si>
    <t>The lab brief says: 'Keep Origin and Destination, Remove Duplicates → 20 rows.' Try it on Shipments_Unified and you get 30. Column I below lists all 30 raw pairs. Before you build anything: write down why the two numbers differ, and which operation has to happen first.</t>
  </si>
  <si>
    <t>WRONG — average the per-row ratio</t>
  </si>
  <si>
    <t>Your answer:</t>
  </si>
  <si>
    <t>T4  ·  Conform 23 Location Strings into 14 Cities</t>
  </si>
  <si>
    <r>
      <rPr>
        <rFont val="Calibri"/>
        <b/>
        <color theme="1"/>
        <sz val="11.0"/>
      </rPr>
      <t xml:space="preserve">1. Why the Two Numbers Differ </t>
    </r>
    <r>
      <rPr>
        <rFont val="Calibri"/>
        <b/>
        <color theme="1"/>
        <sz val="12.0"/>
      </rPr>
      <t xml:space="preserve">(30 vs. 20):                                                                                                                                                                                                                                                                </t>
    </r>
    <r>
      <rPr>
        <rFont val="Calibri"/>
        <b/>
        <color theme="1"/>
        <sz val="10.0"/>
      </rPr>
      <t>The Raw Data Has Variations:</t>
    </r>
    <r>
      <rPr>
        <rFont val="Calibri"/>
        <color theme="1"/>
        <sz val="10.0"/>
      </rPr>
      <t xml:space="preserve">                                                                                                                                                                                                                                                                                                                                                                          The raw shipping logs contain different text spellings, extra spaces, or specific facility names (for example, Karachi Port, Karachi Cantt, and Port Qasim).                                                                                                                                                                                                                                                                                                                 </t>
    </r>
    <r>
      <rPr>
        <rFont val="Calibri"/>
        <b/>
        <color theme="1"/>
        <sz val="10.0"/>
      </rPr>
      <t>Why Duplication Fails</t>
    </r>
    <r>
      <rPr>
        <rFont val="Calibri"/>
        <color theme="1"/>
        <sz val="10.0"/>
      </rPr>
      <t xml:space="preserve">:                                                                                                                                                                                                                                                                                                                                                                                A computer doing a standard "Remove Duplicates" command looks for exact character matches. Because the text spellings are different, the computer thinks they are 30 completely different routes instead of grouping them together.                                                                                                                                                                                                                                                                                                                                                                                                                </t>
    </r>
    <r>
      <rPr>
        <rFont val="Calibri"/>
        <b/>
        <color theme="1"/>
        <sz val="11.0"/>
      </rPr>
      <t xml:space="preserve">2. Which Operation Must Happen First:                                                                                                                                                                                                                                                                                                  </t>
    </r>
    <r>
      <rPr>
        <rFont val="Calibri"/>
        <b/>
        <color theme="1"/>
        <sz val="10.0"/>
      </rPr>
      <t>Location Conformance (Data Standardization):</t>
    </r>
    <r>
      <rPr>
        <rFont val="Calibri"/>
        <color theme="1"/>
        <sz val="10.0"/>
      </rPr>
      <t xml:space="preserve">                                                                                                                                                                                                                                                                                                                                                       You must first map and clean all the messy raw location names so they point to their correct, standard city names (for example, turning all Karachi variations into just Karachi). Once the locations are standardized, running the Remove Duplicates command will correctly reduce the list to the true 20 unique routes</t>
    </r>
  </si>
  <si>
    <t>What AVERAGE(Cost/Weight) gives you, and what a careless DAX measure gives you.</t>
  </si>
  <si>
    <t>RouteKey</t>
  </si>
  <si>
    <t>OriginCityKey</t>
  </si>
  <si>
    <t>DestCityKey</t>
  </si>
  <si>
    <t>RIGHT — divide the two sums</t>
  </si>
  <si>
    <t>This is the editorial act of dimensional modelling, and it is yours. Block 1: decide what each raw string really is. Block 2: build the dimension, one row per real-world city, with a surrogate key you mint yourself.</t>
  </si>
  <si>
    <t>RouteName</t>
  </si>
  <si>
    <t>Corridor</t>
  </si>
  <si>
    <t>DistanceBand</t>
  </si>
  <si>
    <t>The 30 RAW origin → destination pairs (grey)</t>
  </si>
  <si>
    <t>BLOCK 1  ·  THE CONFORMING MAP  —  23 RAW STRINGS, EXACTLY AS THE SOURCE SYSTEMS WROTE THEM</t>
  </si>
  <si>
    <t>What DIVIDE(SUM(Cost), SUM(Weight)) gives you. The only version that is correct at every level.</t>
  </si>
  <si>
    <t>The gap, in PKR per kg</t>
  </si>
  <si>
    <t>Lahore -&gt; Islamabad</t>
  </si>
  <si>
    <t>Central / Regional Corridor</t>
  </si>
  <si>
    <t>Medium Haul</t>
  </si>
  <si>
    <t>Karachi Port  →  Lahore Dry Port</t>
  </si>
  <si>
    <t>Raw location string (grey — do not edit)</t>
  </si>
  <si>
    <t>Conformed CityName</t>
  </si>
  <si>
    <t>Province</t>
  </si>
  <si>
    <t>Small enough that nobody notices. On PakFreight's real annual volume it is tens of millions.</t>
  </si>
  <si>
    <t>Karachi -&gt; Lahore</t>
  </si>
  <si>
    <t>Region</t>
  </si>
  <si>
    <t>Port city?</t>
  </si>
  <si>
    <t>North-South Corridor</t>
  </si>
  <si>
    <t>Very Long Haul</t>
  </si>
  <si>
    <t>The gap, as a percentage</t>
  </si>
  <si>
    <t>Port Qasim  →  Faisalabad Dry Port</t>
  </si>
  <si>
    <t>Facility type</t>
  </si>
  <si>
    <t>T6  ·  Build FactShipment  —  Swap Every Text Column for an Integer Key</t>
  </si>
  <si>
    <t>CityKey</t>
  </si>
  <si>
    <t>Multan -&gt; Lahore</t>
  </si>
  <si>
    <t>CityName</t>
  </si>
  <si>
    <t>Gwadar Port  →  Quetta</t>
  </si>
  <si>
    <t>Lahore -&gt; Faisalabad</t>
  </si>
  <si>
    <t>Short Haul</t>
  </si>
  <si>
    <t>Port Qasim  →  Multan</t>
  </si>
  <si>
    <t>Port?</t>
  </si>
  <si>
    <t>Karachi -&gt; Faisalabad</t>
  </si>
  <si>
    <t>FacilityType</t>
  </si>
  <si>
    <t>Long Haul</t>
  </si>
  <si>
    <t>Karachi Port  →  Sialkot Dry Port</t>
  </si>
  <si>
    <t>SourceAliases (which raw strings map here)</t>
  </si>
  <si>
    <t>No error is raised. No cell turns red. The number is simply wrong.</t>
  </si>
  <si>
    <t>Lahore -&gt; Sialkot</t>
  </si>
  <si>
    <t>Port Qasim  →  Lahore Dry Port</t>
  </si>
  <si>
    <t>Karachi -&gt; Sialkot</t>
  </si>
  <si>
    <t>Expected: 8.0604 (wrong) and 8.3090 (right)</t>
  </si>
  <si>
    <t>Karachi Port  →  Peshawar</t>
  </si>
  <si>
    <r>
      <rPr>
        <rFont val="Arial"/>
        <b/>
        <color theme="1"/>
        <sz val="10.0"/>
      </rPr>
      <t>Why it happens</t>
    </r>
    <r>
      <rPr>
        <rFont val="Calibri"/>
        <color theme="1"/>
        <sz val="10.0"/>
      </rPr>
      <t>: Row-level averaging treats every shipment equally regardless of its size, whereas dividing the sums weights every kilogram correctly.</t>
    </r>
  </si>
  <si>
    <t>Quetta -&gt; Karachi</t>
  </si>
  <si>
    <t>Western-Southern Corridor</t>
  </si>
  <si>
    <t>Sindh</t>
  </si>
  <si>
    <t>South</t>
  </si>
  <si>
    <t>Gwadar Port  →  Karachi Cantt</t>
  </si>
  <si>
    <t>Seaport</t>
  </si>
  <si>
    <t>ANSWER IN ONE LINE EACH</t>
  </si>
  <si>
    <t>Lahore -&gt; Gujranwala</t>
  </si>
  <si>
    <t>Port Qasim  →  Islamabad Dry Port</t>
  </si>
  <si>
    <t>Karachi -&gt; Hyderabad</t>
  </si>
  <si>
    <t>Southern Coastal Corridor</t>
  </si>
  <si>
    <t>Karachi Port  →  Hyderabad</t>
  </si>
  <si>
    <t>Which of the two numbers above would you put on a board slide, and what exactly does the other one measure?</t>
  </si>
  <si>
    <t>Punjab</t>
  </si>
  <si>
    <t>Karachi -&gt; Sukkur</t>
  </si>
  <si>
    <t>Central</t>
  </si>
  <si>
    <t>Dry Port</t>
  </si>
  <si>
    <t>Karachi Cantt  →  Lahore</t>
  </si>
  <si>
    <t>LHE, Mughalpura Dry Port, Prem Nagar Dry Port, NLC Thokar</t>
  </si>
  <si>
    <t>Karachi -&gt; Multan</t>
  </si>
  <si>
    <t>Put 8.3090 (the ratio of sums) on the board slide because it represents the true overall cost per kg. The other number (8.0604) measures the unweighted average of individual trip ratios rather than true financial reality.</t>
  </si>
  <si>
    <t>Left of the gap: Shipments_Unified exactly as Week 2 left it. Right of the gap: the fact table. Row 6 is worked for you — copy it down to row 39. The rule you must not break: no descriptive text crosses the gap.</t>
  </si>
  <si>
    <t>Karachi Cantt  →  Rawalpindi</t>
  </si>
  <si>
    <t>Faisalabad -&gt; Multan</t>
  </si>
  <si>
    <t>Pipri Marshalling Yard  →  Faisalabad</t>
  </si>
  <si>
    <t>PakFreight's CFO asks for 'average cost per kg by province'. Write the rule you will follow so the provincial numbers still roll up to the national one.</t>
  </si>
  <si>
    <t>Islamabad -&gt; Peshawar</t>
  </si>
  <si>
    <t>Northern Corridor</t>
  </si>
  <si>
    <t>Islamabad ICT</t>
  </si>
  <si>
    <t>Karachi Cantt  →  Multan</t>
  </si>
  <si>
    <t>North</t>
  </si>
  <si>
    <t>Gwadar -&gt; Quetta</t>
  </si>
  <si>
    <t>Store FreightCostPKR and WeightKG separately, and calculate the ratio dynamically using SUM(FreightCostPKR) / SUM(WeightKG) at any geographic or time level</t>
  </si>
  <si>
    <t>Western Corridor</t>
  </si>
  <si>
    <t>Pipri Marshalling Yard  →  Lahore</t>
  </si>
  <si>
    <t>ISB, Islamabad Dry Port, Margalla Freight Depot</t>
  </si>
  <si>
    <t>Gwadar</t>
  </si>
  <si>
    <t>Balochistan</t>
  </si>
  <si>
    <t>Name the one measure in the table above whose correct answer is 'delete the column', and say why a stored average can never be fixed later.</t>
  </si>
  <si>
    <t>Southwestern</t>
  </si>
  <si>
    <t>Rawalpindi -&gt; Abbottabad</t>
  </si>
  <si>
    <t>AverageWeightPerShipment. Once you store a pre-calculated average, the underlying individual weights and counts are lost, making it impossible to correctly recalculate or roll up the data for different groups later.</t>
  </si>
  <si>
    <t>Row 6 is worked for you — copy J6:S6 down to row 39. Until T4 and T5 are filled in, every key in row 6 reads -1. That is not an error: it is the Unknown row doing its job, because IFERROR sends an unmatched lookup to key -1 instead of losing the fact row. Watch them turn into real keys as you complete the dimensions.</t>
  </si>
  <si>
    <t>Karachi Cantt  →  Peshawar Cantt</t>
  </si>
  <si>
    <t>KHI, Karachi Port, Port Qasim, KPT</t>
  </si>
  <si>
    <t>Karachi -&gt; Peshawar</t>
  </si>
  <si>
    <t>Pipri Marshalling Yard  →  Rawalpindi</t>
  </si>
  <si>
    <t>Gwadar -&gt; Karachi</t>
  </si>
  <si>
    <t>Coastal Corridor</t>
  </si>
  <si>
    <t>Marking, 10 marks: classification 5 (half a mark per row) · 'store instead' column 2 · the three questions 3. Full marks on question 1 require naming what 8.06 actually measures — 'it is wrong' is not an answer.</t>
  </si>
  <si>
    <t>Karachi Cantt  →  Sukkur</t>
  </si>
  <si>
    <t>HDD, Hyderabad Dry Port, NLC Hyderabad</t>
  </si>
  <si>
    <t>Karachi -&gt; Islamabad</t>
  </si>
  <si>
    <t>Pipri Marshalling Yard  →  Multan</t>
  </si>
  <si>
    <t>Karachi -&gt; Rawalpindi</t>
  </si>
  <si>
    <t>Lahore  →  Islamabad</t>
  </si>
  <si>
    <t>SOURCE  ·  grey, do not edit</t>
  </si>
  <si>
    <t>LYP, Faisalabad Dry Port Trust (FDPT)</t>
  </si>
  <si>
    <t>Unknown</t>
  </si>
  <si>
    <t>Karachi  →  Hyderabad</t>
  </si>
  <si>
    <t>Lahore  →  Faisalabad</t>
  </si>
  <si>
    <t>Multan  →  Lahore</t>
  </si>
  <si>
    <t>MUX, Multan Dry Port, South Punjab Dry Port</t>
  </si>
  <si>
    <t>Islamabad  →  Peshawar</t>
  </si>
  <si>
    <t>Karachi  →  Sukkur</t>
  </si>
  <si>
    <t>Lahore  →  Sialkot</t>
  </si>
  <si>
    <t>Khyber Pakhtunkhwa</t>
  </si>
  <si>
    <t>North-Western</t>
  </si>
  <si>
    <t>Quetta  →  Karachi</t>
  </si>
  <si>
    <t>PEW, Peshawar Dry Port</t>
  </si>
  <si>
    <t>Faisalabad  →  Multan</t>
  </si>
  <si>
    <t>Lahore  →  Gujranwala</t>
  </si>
  <si>
    <t>FACTSHIPMENT  ·  six keys + one degenerate + three measures</t>
  </si>
  <si>
    <t>Rawalpindi  →  Abbottabad</t>
  </si>
  <si>
    <t>City Hub</t>
  </si>
  <si>
    <t>SKZ, Sukkur</t>
  </si>
  <si>
    <t>30 raw pairs  →  20 conformed routes</t>
  </si>
  <si>
    <t>Check · distinct RouteName values</t>
  </si>
  <si>
    <t>North-Eastern</t>
  </si>
  <si>
    <t>SKT, Sialkot Dry Port Trust (SDPT), Sambrial Dry Port</t>
  </si>
  <si>
    <t>EXCEL-ONLY SCRATCH</t>
  </si>
  <si>
    <t>West</t>
  </si>
  <si>
    <t>UET, Quetta Dry Port, NLC Quetta</t>
  </si>
  <si>
    <t>GRW, Gujranwala</t>
  </si>
  <si>
    <t>Source</t>
  </si>
  <si>
    <t>RWP, Rawalpindi Dry Port, PR Freight Terminal Rawalpindi</t>
  </si>
  <si>
    <t>DateKey</t>
  </si>
  <si>
    <t>ModeKey</t>
  </si>
  <si>
    <t>StatusKey</t>
  </si>
  <si>
    <t>AAT, Abbottabad</t>
  </si>
  <si>
    <t>GWD, Gwadar Port, Gwadar Deep Sea Port</t>
  </si>
  <si>
    <t>Count</t>
  </si>
  <si>
    <t>20 real routes + 1 Unknown row = 21 distinct names.</t>
  </si>
  <si>
    <t>OriginProvince</t>
  </si>
  <si>
    <t>ModeName</t>
  </si>
  <si>
    <t>BLOCK B  ·  DIMMODE AND DIMSTATUS  —  TYPED BY HAND. THIS IS REFERENCE DATA, NOT SOURCE DATA.</t>
  </si>
  <si>
    <t>Carrier</t>
  </si>
  <si>
    <t>TonnageClass</t>
  </si>
  <si>
    <t>CostProfile</t>
  </si>
  <si>
    <t>Containerised?</t>
  </si>
  <si>
    <t>Railway Station</t>
  </si>
  <si>
    <t>StatusName</t>
  </si>
  <si>
    <t>IsClosed</t>
  </si>
  <si>
    <t>IsException</t>
  </si>
  <si>
    <t>DisplayOrder</t>
  </si>
  <si>
    <t>PakFreight Shipping Ltd</t>
  </si>
  <si>
    <t>Heavy (10–25 t)</t>
  </si>
  <si>
    <t>Low cost / slow</t>
  </si>
  <si>
    <t>Pakistan Railways Freight</t>
  </si>
  <si>
    <t>Bulk (25–35 t)</t>
  </si>
  <si>
    <t>Medium cost / medium</t>
  </si>
  <si>
    <t>SELF-CHECK  ·  THESE THREE MUST ALL PASS BEFORE YOU START T5</t>
  </si>
  <si>
    <t>Partial</t>
  </si>
  <si>
    <t>PakFreight Trucking</t>
  </si>
  <si>
    <t>Light (5–8 t)</t>
  </si>
  <si>
    <t>High cost / fast</t>
  </si>
  <si>
    <t>Check</t>
  </si>
  <si>
    <t>Expected</t>
  </si>
  <si>
    <t>Your result</t>
  </si>
  <si>
    <t>Both tables carry a row with key -1 called Unknown. It is not decoration: in T6 every lookup is a LEFT join, and a row whose mode nobody recognises must land somewhere visible rather than disappear. A fact row pointing at Unknown is a bug you can count; a fact row silently dropped is a bug you discover in a board meeting.</t>
  </si>
  <si>
    <t>Pass?</t>
  </si>
  <si>
    <t>Distinct conformed city names in Block 1</t>
  </si>
  <si>
    <t>BLOCK C  ·  DIMDATE  —  28 ROWS FOR FEBRUARY 2026, INCLUDING THE QUIET DAYS</t>
  </si>
  <si>
    <t>FullDate</t>
  </si>
  <si>
    <t>Year</t>
  </si>
  <si>
    <t>Quarter</t>
  </si>
  <si>
    <t>MonthNumber</t>
  </si>
  <si>
    <t>MonthName</t>
  </si>
  <si>
    <t>DayOfWeek</t>
  </si>
  <si>
    <t>DayNumber</t>
  </si>
  <si>
    <t>DayName</t>
  </si>
  <si>
    <t>IsWeekend</t>
  </si>
  <si>
    <t>IsHoliday</t>
  </si>
  <si>
    <t>Shipments that day</t>
  </si>
  <si>
    <t>In fact table?</t>
  </si>
  <si>
    <t>If you get 15 or more you have left two spellings of one city apart. If 13 or fewer you have merged two genuinely different cities — check Islamabad against Rawalpindi.</t>
  </si>
  <si>
    <t>Raw strings that map to Karachi</t>
  </si>
  <si>
    <t>Karachi Port, Port Qasim, Karachi Cantt, Pipri Marshalling Yard and plain Karachi are five facilities in one city. Merging them is the whole point; getting 2 means you kept the rail yards separate.</t>
  </si>
  <si>
    <t>Rows in DimCity, excluding the Unknown row</t>
  </si>
  <si>
    <t>February</t>
  </si>
  <si>
    <t>Fourteen cities plus one reserved row with key -1. The -1 row is not optional — T6 needs somewhere to point when a future file arrives with a city nobody has mapped.</t>
  </si>
  <si>
    <t>Sunday</t>
  </si>
  <si>
    <t>THE JUDGEMENT CALL  —  ANSWER BEFORE YOU MOVE ON</t>
  </si>
  <si>
    <r>
      <rPr>
        <rFont val="Calibri"/>
        <b/>
        <color theme="1"/>
        <sz val="10.0"/>
      </rPr>
      <t>Pipri Marshalling Yard is 40 km from Karachi Cantt and is a separate railway facility. You merged it into Karachi. Name one business decision that choice quietly made for PakFreight?</t>
    </r>
    <r>
      <rPr>
        <rFont val="Calibri"/>
        <color theme="1"/>
        <sz val="10.0"/>
      </rPr>
      <t xml:space="preserve">                                                                                          </t>
    </r>
  </si>
  <si>
    <t xml:space="preserve"> Merging Pipri into Karachi quietly decided that PakFreight cannot track fuel usage, transit delays, or operational costs specifically for Pipri, making Pipri's unique efficiency issues invisible to management.</t>
  </si>
  <si>
    <t>Monday</t>
  </si>
  <si>
    <t xml:space="preserve">Islamabad is its own territory, not part of Punjab. What breaks in a provincial report if you map it to Punjab, and what breaks if you leave Province blank?                                                                                                                                     </t>
  </si>
  <si>
    <t>Tuesday</t>
  </si>
  <si>
    <t xml:space="preserve"> Mapping Islamabad to Punjab artificially inflates Punjab’s revenue and tax totals, while leaving Province blank drops Islamabad from provincial summaries entirely or causes grouping errors in BI reports.</t>
  </si>
  <si>
    <t xml:space="preserve">A new file arrives next month with 'KHI Port Trust'. Walk through exactly what has to happen, in order, for it to appear correctly in a report?                                                                                                                                                                  </t>
  </si>
  <si>
    <t>Wednesday</t>
  </si>
  <si>
    <t>T7  ·  Reconcile  —  Thirteen Checks, All Thirteen Must Pass</t>
  </si>
  <si>
    <t>The reshaping must not change a single kilogram. Reconciliation is not a formality: it is the last moment at which you can still find the mistake cheaply.</t>
  </si>
  <si>
    <t>Thursday</t>
  </si>
  <si>
    <r>
      <rPr>
        <rFont val="Arial"/>
        <b/>
        <color theme="1"/>
        <sz val="11.0"/>
      </rPr>
      <t xml:space="preserve">1.Map Raw String in Conforming Map:                                                                                                                                                                                                                                                                                                                                                                Step 1.                                                 </t>
    </r>
    <r>
      <rPr>
        <rFont val="Arial"/>
        <color theme="1"/>
        <sz val="11.0"/>
      </rPr>
      <t xml:space="preserve">                                                                                                                                                                                                                                                                                                                                                                        Add 'KHI Port Trust' to the Conforming Map table and assign its Conformed CityName as 'Karachi' (with Sindh, South, Port city = Yes).                                                                                                                                                                                        </t>
    </r>
    <r>
      <rPr>
        <rFont val="Arial"/>
        <b/>
        <color theme="1"/>
        <sz val="11.0"/>
      </rPr>
      <t xml:space="preserve">2.Re-run ETL Pipeline:  </t>
    </r>
    <r>
      <rPr>
        <rFont val="Arial"/>
        <color theme="1"/>
        <sz val="11.0"/>
      </rPr>
      <t xml:space="preserve">                                                                                                                                                                                                                                                                                                                                                                                             </t>
    </r>
    <r>
      <rPr>
        <rFont val="Arial"/>
        <b/>
        <color theme="1"/>
        <sz val="11.0"/>
      </rPr>
      <t>Step 2.</t>
    </r>
    <r>
      <rPr>
        <rFont val="Arial"/>
        <color theme="1"/>
        <sz val="11.0"/>
      </rPr>
      <t xml:space="preserve">                                                                                                                                                                                                                                                                                                                                                                                                                          Execute the ETL job so the pipeline looks up 'KHI Port Trust', finds its mapped city, and fetches the corresponding surrogate key from DimCity.                                                                                                                                                                             </t>
    </r>
    <r>
      <rPr>
        <rFont val="Arial"/>
        <b/>
        <color theme="1"/>
        <sz val="11.0"/>
      </rPr>
      <t xml:space="preserve">3.Load Fact Table and Refresh BI:                                                                                                                                                                                                                                                                                                                                                                                   Step 3.   </t>
    </r>
    <r>
      <rPr>
        <rFont val="Arial"/>
        <color theme="1"/>
        <sz val="11.0"/>
      </rPr>
      <t xml:space="preserve">                                                                                                                                                                                                                                                                                                                                                                                                                       Insert the new shipment rows into FactShipment using Karachi's surrogate key and refresh the reporting dashboard.                                                                                                                                                                                                                     </t>
    </r>
    <r>
      <rPr>
        <rFont val="Arial"/>
        <b/>
        <color theme="1"/>
        <sz val="11.0"/>
      </rPr>
      <t>Verification</t>
    </r>
    <r>
      <rPr>
        <rFont val="Arial"/>
        <color theme="1"/>
        <sz val="11.0"/>
      </rPr>
      <t>:                                                                                                                                                                                                                                                                                                                                                                                                                                       Verify success by checking that queries on FactShipment grouped by DimCity.CityName cleanly include the new shipments under Karachi without creating duplicate or unassigned rows.</t>
    </r>
  </si>
  <si>
    <t>Friday</t>
  </si>
  <si>
    <t>Marking, 20 marks: conforming map 8 · provinces and regions correct 4 · DimCity built with a reused -1 row 4 · the three judgement questions 4. Karachi must be CityKey 1 everywhere it appears for the rest of the workbook to reconcile.</t>
  </si>
  <si>
    <t>If it does not match, look here first</t>
  </si>
  <si>
    <t>Row count of FactShipment</t>
  </si>
  <si>
    <t>Saturday</t>
  </si>
  <si>
    <t>You dropped rows in a lookup, or you duplicated one to fit a dimension. A changed row count means the grain moved.</t>
  </si>
  <si>
    <t>Grand total, WeightKG</t>
  </si>
  <si>
    <t>Rail is still in tonnes (a factor of 1,000 missing), or the rd-505 duplicate came back, or the Road TOTAL row survived staging.</t>
  </si>
  <si>
    <t>Grand total, FreightCostPKR</t>
  </si>
  <si>
    <t>Same causes as the weight check. Costs are additive currency — there is no rounding excuse.</t>
  </si>
  <si>
    <t>Shipment legs (SUM of Count)</t>
  </si>
  <si>
    <t>A measure problem, not a data problem — check that ShipmentCount is 1 on every row, including the last one.</t>
  </si>
  <si>
    <t>Distinct ShipmentID values</t>
  </si>
  <si>
    <t>Equal to the leg count here because no consignment was split. The day they differ, the grain sentence has to say which one a row is.</t>
  </si>
  <si>
    <t>Rows in DimCity (excluding Unknown)</t>
  </si>
  <si>
    <t>Your conforming map is incomplete — you still have 23, or some number in between.</t>
  </si>
  <si>
    <t>Rows in DimRoute (excluding Unknown)</t>
  </si>
  <si>
    <t>30 means you deduplicated the raw strings instead of the conformed city keys. Go back to T5 Block A.</t>
  </si>
  <si>
    <t>Rows in DimDate</t>
  </si>
  <si>
    <t>12 means you generated only the dates that appear in the fact table. A date dimension with holes breaks every time-intelligence function.</t>
  </si>
  <si>
    <t>WeightKG for Sindh / Marine</t>
  </si>
  <si>
    <t>If you got 206,500 you mapped Gwadar Port to Karachi. Gwadar is in Balochistan, and it is the one conforming decision students get wrong most often.</t>
  </si>
  <si>
    <t>WeightKG for Punjab / Road</t>
  </si>
  <si>
    <t>Check that Lahore, Faisalabad, Multan, Sialkot, Gujranwala and Rawalpindi all map to Punjab — and that Islamabad does NOT.</t>
  </si>
  <si>
    <t>WeightKG for Sindh, all modes</t>
  </si>
  <si>
    <t>83.7% of everything PakFreight moved. If it is lower, some Karachi alias is still its own city.</t>
  </si>
  <si>
    <t>Fact rows pointing at an Unknown key (-1)</t>
  </si>
  <si>
    <t>A lookup failed and IFERROR caught it. Which column, and which row? The -1 row exists so this is a number you can read, not a row you lost.</t>
  </si>
  <si>
    <t>Cost per KG, grand total</t>
  </si>
  <si>
    <t>8.06 means you averaged a ratio instead of dividing two sums. See T3 — this is the same 3% error, now wearing a dashboard.</t>
  </si>
  <si>
    <t>CHECKS PASSING</t>
  </si>
  <si>
    <t>Submitting with a single red cell loses all 8 marks for this task. Thirteen out of thirteen, or it is not done.</t>
  </si>
  <si>
    <t>Days with at least one shipment</t>
  </si>
  <si>
    <t>THE DELIVERABLE MATRIX  ·  TONNAGE BY ORIGIN PROVINCE AND MODE</t>
  </si>
  <si>
    <t>Build this in Power BI too: Province on rows, Mode on columns, Total Weight KG in values. The grand total must read 578,650 kg exactly.</t>
  </si>
  <si>
    <t>Origin province</t>
  </si>
  <si>
    <t>Total</t>
  </si>
  <si>
    <t>Quiet days</t>
  </si>
  <si>
    <t>Expected: 28 rows, 12 days with shipments, 16 quiet days. THE question this answers: 'what was our average daily tonnage in February?' is 578,650 / 12 = 48,221 kg if you count only the days that appear in the fact table, and 578,650 / 28 = 20,666 kg against the real calendar. Both are arithmetically correct. Only one of them answers the question the CFO asked.</t>
  </si>
  <si>
    <t xml:space="preserve">DimRoute holds two city keys. Does that make DimCity a snowflake? One sentence. </t>
  </si>
  <si>
    <t>DimRoute holds two city keys (OriginCityKey and DestinationCityKey), but this does not make DimCity a snowflake schema because a snowflake schema specifically refers to normalizing a dimension table into multiple related tables (like branching out a separate Province table) rather than having multiple foreign keys pointing to the same dimension.</t>
  </si>
  <si>
    <t>Karachi → Lahore is served by both marine and rail. Should Mode be a column in DimRoute, or stay its own dimension? Why?</t>
  </si>
  <si>
    <t>Mode must stay its own dimension (and should not be a column inside DimRoute) because a single route like Karachi → Lahore can be served by multiple modes (such as marine and rail). Making mode a column in DimRoute would cause a one-to-many relationship failure or require duplicating route rows, whereas keeping it separate allows facts to link both dimensions independently in a proper star schema.</t>
  </si>
  <si>
    <r>
      <rPr>
        <rFont val="Calibri"/>
        <b/>
        <color theme="1"/>
        <sz val="11.0"/>
      </rPr>
      <t>PakFreight adds a Karachi → Lahore service routed via Sukkur. Same two cities, different path. New DimRoute row or not</t>
    </r>
    <r>
      <rPr>
        <rFont val="Calibri"/>
        <color theme="1"/>
        <sz val="10.0"/>
      </rPr>
      <t xml:space="preserve">?                                                                     </t>
    </r>
    <r>
      <rPr>
        <rFont val="Calibri"/>
        <color theme="1"/>
        <sz val="11.0"/>
      </rPr>
      <t xml:space="preserve"> </t>
    </r>
  </si>
  <si>
    <r>
      <rPr>
        <rFont val="Arial"/>
        <color theme="1"/>
        <sz val="11.0"/>
      </rPr>
      <t xml:space="preserve">Yes, a new DimRoute row must be added.
</t>
    </r>
    <r>
      <rPr>
        <rFont val="Arial"/>
        <b/>
        <color theme="1"/>
        <sz val="11.0"/>
      </rPr>
      <t>Why?</t>
    </r>
    <r>
      <rPr>
        <rFont val="Arial"/>
        <color theme="1"/>
        <sz val="11.0"/>
      </rPr>
      <t xml:space="preserve">
Even though the origin (Karachi) and destination (Lahore) are the same, routing via Sukkur represents a completely different physical path. It will have a different distance, travel time, and corridor, which means it is a distinct route entity that needs its own unique RouteKey in the dimension table.</t>
    </r>
  </si>
  <si>
    <t>Why does DimDate get 28 rows when the fact table only ever touches 12 of them?</t>
  </si>
  <si>
    <r>
      <rPr>
        <rFont val="Arial"/>
        <color theme="1"/>
        <sz val="11.0"/>
      </rPr>
      <t xml:space="preserve">DimDate gets 28 rows (covering every single calendar day of February 2026) because a date dimension must represent a continuous, unbroken timeline, ensuring that even on the 12 days when no shipments occur, reporting queries can still accurately display zero-activity days, compute proper rolling averages, and slice data by weekdays or weekends.  </t>
    </r>
    <r>
      <rPr>
        <rFont val="Calibri"/>
        <color theme="1"/>
        <sz val="10.0"/>
      </rPr>
      <t xml:space="preserve"> </t>
    </r>
  </si>
  <si>
    <t>Marking, 20 marks: the conform-then-dedupe answer 3 · DimRoute 6 · DimMode and DimStatus with -1 rows 3 · DimDate 4 · the four questions 4.</t>
  </si>
  <si>
    <t>Grand total</t>
  </si>
  <si>
    <t>Reconciles to 578,650?</t>
  </si>
  <si>
    <t>Read the Khyber Pakhtunkhwa row: zero. PakFreight moved 61,900 kg INTO Peshawar and Abbottabad in February and nothing out of them, and this matrix is built on OriginCityKey. The number is correct, and the conclusion a reader draws from it — 'KP is not part of our network' — is false. A role-playing dimension is exactly this: the same DimCity answers two different questions, and the active relationship silently decides which one you asked. Rebuild the matrix on DestCityKey and KP reads 61,900 kg. In Power BI that is the USERELATIONSHIP bonus on slide 47.</t>
  </si>
  <si>
    <t>THE LAST QUESTION  ·  WRITE IT BEFORE YOU SUBMIT</t>
  </si>
  <si>
    <t>Every one of the thirteen checks above passes and your matrix totals 578,650 kg. In two or three lines: name one thing that could still be wrong with this model that no check on this sheet would ever catch.</t>
  </si>
  <si>
    <t>Even if all 13 checks pass and totals match, using the wrong foreign key relationship (such as grouping by OriginCityKey instead of DestCityKey) can completely misrepresent business activity. For instance, the matrix shows zero tonnage for Khyber Pakhtunkhwa because it only tracks shipments originating from there, hiding the 61,900 kg delivered into it. No math or row-count check can catch a misleading conclusion caused by answering the wrong business question with a role-playing dimension.</t>
  </si>
  <si>
    <t>Marking, 8 marks: thirteen checks passing 5 (all or nothing) · the matrix 1 · the last question 2.</t>
  </si>
  <si>
    <t>Columns U and V are a scratch pad, NOT part of the fact table. Excel has no relationships, so T7 needs the province and the mode name as text to build a matrix with SUMIFS. In Power BI the relationship does this for you and these two columns must not exist in your .pbix — if they do, you have put descriptive text back into a fact table and undone the whole exercise.</t>
  </si>
  <si>
    <t>THE THREE QUESTIONS THIS TASK IS REALLY ASKING</t>
  </si>
  <si>
    <t>Every lookup above is wrapped in IFERROR(…, -1) instead of being left to fail. Name what that buys you and what it costs you.</t>
  </si>
  <si>
    <r>
      <rPr>
        <rFont val="Calibri"/>
        <b/>
        <color theme="1"/>
        <sz val="12.0"/>
      </rPr>
      <t>What it buys you</t>
    </r>
    <r>
      <rPr>
        <rFont val="Calibri"/>
        <color theme="1"/>
        <sz val="13.0"/>
      </rPr>
      <t>:</t>
    </r>
    <r>
      <rPr>
        <rFont val="Calibri"/>
        <color theme="1"/>
        <sz val="11.0"/>
      </rPr>
      <t xml:space="preserve"> It guarantees pipeline resilience. If a source file introduces a new location spelling or code that hasn't been added to the dimension table yet, the ETL process will not fail, crash, or drop the row. Instead, it safely maps the missing lookup to the reserved -1 Unknown surrogate key.                                                                                                            </t>
    </r>
    <r>
      <rPr>
        <rFont val="Calibri"/>
        <b/>
        <color theme="1"/>
        <sz val="12.0"/>
      </rPr>
      <t>What it costs you</t>
    </r>
    <r>
      <rPr>
        <rFont val="Calibri"/>
        <color theme="1"/>
        <sz val="12.0"/>
      </rPr>
      <t>:</t>
    </r>
    <r>
      <rPr>
        <rFont val="Calibri"/>
        <color theme="1"/>
        <sz val="11.0"/>
      </rPr>
      <t xml:space="preserve"> It creates silent failures (data masking). Typos, dirty data, or missing dimension records are quietly swept under the -1 bucket. This hides data quality issues from engineers, meaning you won't get alerted that your dimension table needs updating.</t>
    </r>
  </si>
  <si>
    <t>Columns C to F still hold the text. Why do they not cross the gap into the fact table?</t>
  </si>
  <si>
    <r>
      <rPr>
        <rFont val="Arial"/>
        <b/>
        <color theme="1"/>
        <sz val="12.0"/>
      </rPr>
      <t>Architectural Principle:</t>
    </r>
    <r>
      <rPr>
        <rFont val="Arial"/>
        <color theme="1"/>
        <sz val="11.0"/>
      </rPr>
      <t xml:space="preserve"> Fact tables store numeric measures (like WeightKG, CostPKR) and foreign surrogate keys (like OriginCityKey, DateKey), not descriptive text.
Keeping descriptive attributes (such as city names, statuses, or modes) out of the fact table prevents massive data redundancy, reduces storage bloat, and ensures that text updates only need to happen in one place (the dimension tables).</t>
    </r>
  </si>
  <si>
    <t>ShipmentID is in the fact table but joins to nothing. Defend keeping it.</t>
  </si>
  <si>
    <r>
      <rPr>
        <rFont val="Arial"/>
        <b/>
        <color theme="1"/>
        <sz val="12.0"/>
      </rPr>
      <t>Degenerate Dimension</t>
    </r>
    <r>
      <rPr>
        <rFont val="Arial"/>
        <color theme="1"/>
        <sz val="11.0"/>
      </rPr>
      <t xml:space="preserve">: Even though ShipmentID does not join to a separate dimension table, keeping it in the fact table makes it a degenerate dimension.
</t>
    </r>
    <r>
      <rPr>
        <rFont val="Arial"/>
        <b/>
        <color theme="1"/>
        <sz val="12.0"/>
      </rPr>
      <t>Why keep it</t>
    </r>
    <r>
      <rPr>
        <rFont val="Arial"/>
        <b/>
        <color theme="1"/>
        <sz val="13.0"/>
      </rPr>
      <t>:</t>
    </r>
    <r>
      <rPr>
        <rFont val="Arial"/>
        <color theme="1"/>
        <sz val="11.0"/>
      </rPr>
      <t xml:space="preserve"> It provides unique business identification for every single shipment row, enabling auditing, row-level traceability back to source systems, and reliable drill-through capabilities without bloating the schema with an unnecessary dummy dimension table.</t>
    </r>
  </si>
  <si>
    <t>Marking, 15 marks: six key columns correct 9 · measures and degenerate key 3 · the three questions 3. A hard-typed key column instead of a lookup scores zero for that column — the point is the join, not the digit.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</si>
</sst>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0.0000"/>
    <numFmt numFmtId="166" formatCode="&quot;$&quot;#,##0"/>
  </numFmts>
  <fonts count="25">
    <font>
      <sz val="11.0"/>
      <color theme="1"/>
      <name val="Calibri"/>
      <scheme val="minor"/>
    </font>
    <font>
      <b/>
      <sz val="16.0"/>
      <color rgb="FFFFFFFF"/>
      <name val="Calibri"/>
    </font>
    <font/>
    <font>
      <sz val="10.0"/>
      <color rgb="FFFFFFFF"/>
      <name val="Calibri"/>
    </font>
    <font>
      <b/>
      <sz val="11.0"/>
      <color rgb="FF005A8C"/>
      <name val="Calibri"/>
    </font>
    <font>
      <b/>
      <sz val="10.0"/>
      <color rgb="FFFFFFFF"/>
      <name val="Calibri"/>
    </font>
    <font>
      <sz val="10.0"/>
      <color rgb="FF16202E"/>
      <name val="Calibri"/>
    </font>
    <font>
      <sz val="10.0"/>
      <color theme="1"/>
      <name val="Calibri"/>
    </font>
    <font>
      <sz val="9.0"/>
      <color theme="1"/>
      <name val="Consolas"/>
    </font>
    <font>
      <b/>
      <sz val="10.0"/>
      <color rgb="FF005A8C"/>
      <name val="Calibri"/>
    </font>
    <font>
      <sz val="9.0"/>
      <color rgb="FF5B6573"/>
      <name val="Calibri"/>
    </font>
    <font>
      <b/>
      <sz val="11.0"/>
      <color theme="1"/>
      <name val="Calibri"/>
    </font>
    <font>
      <sz val="11.0"/>
      <color theme="1"/>
      <name val="Calibri"/>
    </font>
    <font>
      <b/>
      <sz val="10.0"/>
      <color theme="1"/>
      <name val="Calibri"/>
    </font>
    <font>
      <i/>
      <sz val="9.0"/>
      <color rgb="FF7A4E00"/>
      <name val="Calibri"/>
    </font>
    <font>
      <color theme="1"/>
      <name val="Calibri"/>
    </font>
    <font>
      <sz val="10.0"/>
      <color theme="1"/>
      <name val="Arial"/>
    </font>
    <font>
      <b/>
      <sz val="10.0"/>
      <color rgb="FF922B21"/>
      <name val="Calibri"/>
    </font>
    <font>
      <sz val="10.0"/>
      <color theme="1"/>
      <name val="Calibri"/>
      <scheme val="minor"/>
    </font>
    <font>
      <sz val="10.0"/>
      <color rgb="FF171C17"/>
      <name val="Calibri"/>
      <scheme val="minor"/>
    </font>
    <font>
      <b/>
      <sz val="9.0"/>
      <color rgb="FF7A4E00"/>
      <name val="Calibri"/>
    </font>
    <font>
      <color theme="1"/>
      <name val="Calibri"/>
      <scheme val="minor"/>
    </font>
    <font>
      <sz val="11.0"/>
      <color theme="1"/>
      <name val="Arial"/>
    </font>
    <font>
      <b/>
      <sz val="12.0"/>
      <color rgb="FF16202E"/>
      <name val="Calibri"/>
    </font>
    <font>
      <b/>
      <sz val="12.0"/>
      <color theme="1"/>
      <name val="Calibri"/>
    </font>
  </fonts>
  <fills count="22">
    <fill>
      <patternFill patternType="none"/>
    </fill>
    <fill>
      <patternFill patternType="lightGray"/>
    </fill>
    <fill>
      <patternFill patternType="solid">
        <fgColor rgb="FF16202E"/>
        <bgColor rgb="FF16202E"/>
      </patternFill>
    </fill>
    <fill>
      <patternFill patternType="solid">
        <fgColor rgb="FF2C3A4F"/>
        <bgColor rgb="FF2C3A4F"/>
      </patternFill>
    </fill>
    <fill>
      <patternFill patternType="solid">
        <fgColor rgb="FFEAF2F8"/>
        <bgColor rgb="FFEAF2F8"/>
      </patternFill>
    </fill>
    <fill>
      <patternFill patternType="solid">
        <fgColor rgb="FF005A8C"/>
        <bgColor rgb="FF005A8C"/>
      </patternFill>
    </fill>
    <fill>
      <patternFill patternType="solid">
        <fgColor rgb="FFF4F7FA"/>
        <bgColor rgb="FFF4F7FA"/>
      </patternFill>
    </fill>
    <fill>
      <patternFill patternType="solid">
        <fgColor rgb="FFEDF1F5"/>
        <bgColor rgb="FFEDF1F5"/>
      </patternFill>
    </fill>
    <fill>
      <patternFill patternType="solid">
        <fgColor rgb="FFFFF8DC"/>
        <bgColor rgb="FFFFF8DC"/>
      </patternFill>
    </fill>
    <fill>
      <patternFill patternType="solid">
        <fgColor rgb="FFF2F5F9"/>
        <bgColor rgb="FFF2F5F9"/>
      </patternFill>
    </fill>
    <fill>
      <patternFill patternType="solid">
        <fgColor rgb="FFFFFFFF"/>
        <bgColor rgb="FFFFFFFF"/>
      </patternFill>
    </fill>
    <fill>
      <patternFill patternType="solid">
        <fgColor rgb="FFFFF3CD"/>
        <bgColor rgb="FFFFF3CD"/>
      </patternFill>
    </fill>
    <fill>
      <patternFill patternType="solid">
        <fgColor rgb="FFD5F5E3"/>
        <bgColor rgb="FFD5F5E3"/>
      </patternFill>
    </fill>
    <fill>
      <patternFill patternType="solid">
        <fgColor rgb="FFFADBD8"/>
        <bgColor rgb="FFFADBD8"/>
      </patternFill>
    </fill>
    <fill>
      <patternFill patternType="solid">
        <fgColor rgb="FFE8F6EF"/>
        <bgColor rgb="FFE8F6EF"/>
      </patternFill>
    </fill>
    <fill>
      <patternFill patternType="solid">
        <fgColor rgb="FFFFF2CC"/>
        <bgColor rgb="FFFFF2CC"/>
      </patternFill>
    </fill>
    <fill>
      <patternFill patternType="solid">
        <fgColor rgb="FFFDEDEC"/>
        <bgColor rgb="FFFDEDEC"/>
      </patternFill>
    </fill>
    <fill>
      <patternFill patternType="solid">
        <fgColor rgb="FFF2F4F8"/>
        <bgColor rgb="FFF2F4F8"/>
      </patternFill>
    </fill>
    <fill>
      <patternFill patternType="solid">
        <fgColor rgb="FFF9FBFD"/>
        <bgColor rgb="FFF9FBFD"/>
      </patternFill>
    </fill>
    <fill>
      <patternFill patternType="solid">
        <fgColor rgb="FF5B6573"/>
        <bgColor rgb="FF5B6573"/>
      </patternFill>
    </fill>
    <fill>
      <patternFill patternType="solid">
        <fgColor rgb="FF7A4E00"/>
        <bgColor rgb="FF7A4E00"/>
      </patternFill>
    </fill>
    <fill>
      <patternFill patternType="solid">
        <fgColor rgb="FFFDF6E3"/>
        <bgColor rgb="FFFDF6E3"/>
      </patternFill>
    </fill>
  </fills>
  <borders count="21">
    <border/>
    <border>
      <left/>
      <top/>
      <bottom/>
    </border>
    <border>
      <top/>
      <bottom/>
    </border>
    <border>
      <right/>
      <top/>
      <bottom/>
    </border>
    <border>
      <left style="thin">
        <color rgb="FFC9D4E3"/>
      </left>
      <right style="thin">
        <color rgb="FFC9D4E3"/>
      </right>
      <top style="thin">
        <color rgb="FFC9D4E3"/>
      </top>
      <bottom style="thin">
        <color rgb="FFC9D4E3"/>
      </bottom>
    </border>
    <border>
      <left style="thin">
        <color rgb="FFC9D4E3"/>
      </left>
      <top style="thin">
        <color rgb="FFC9D4E3"/>
      </top>
      <bottom style="thin">
        <color rgb="FFC9D4E3"/>
      </bottom>
    </border>
    <border>
      <top style="thin">
        <color rgb="FFC9D4E3"/>
      </top>
      <bottom style="thin">
        <color rgb="FFC9D4E3"/>
      </bottom>
    </border>
    <border>
      <right style="thin">
        <color rgb="FFC9D4E3"/>
      </right>
      <top style="thin">
        <color rgb="FFC9D4E3"/>
      </top>
      <bottom style="thin">
        <color rgb="FFC9D4E3"/>
      </bottom>
    </border>
    <border>
      <left style="thin">
        <color rgb="FFD9D9D9"/>
      </left>
      <right style="thin">
        <color rgb="FFD9D9D9"/>
      </right>
      <top style="thin">
        <color rgb="FFD9D9D9"/>
      </top>
      <bottom style="thin">
        <color rgb="FFD9D9D9"/>
      </bottom>
    </border>
    <border>
      <left style="thin">
        <color rgb="FFC9D4E3"/>
      </left>
      <top style="thin">
        <color rgb="FFC9D4E3"/>
      </top>
    </border>
    <border>
      <right style="thin">
        <color rgb="FFC9D4E3"/>
      </right>
      <top style="thin">
        <color rgb="FFC9D4E3"/>
      </top>
    </border>
    <border>
      <top style="thin">
        <color rgb="FFC9D4E3"/>
      </top>
    </border>
    <border>
      <left style="thin">
        <color rgb="FFC9D4E3"/>
      </left>
    </border>
    <border>
      <right style="thin">
        <color rgb="FFC9D4E3"/>
      </right>
    </border>
    <border>
      <left style="thin">
        <color rgb="FFC9D4E3"/>
      </left>
      <bottom style="thin">
        <color rgb="FFC9D4E3"/>
      </bottom>
    </border>
    <border>
      <bottom style="thin">
        <color rgb="FFC9D4E3"/>
      </bottom>
    </border>
    <border>
      <right style="thin">
        <color rgb="FFC9D4E3"/>
      </right>
      <bottom style="thin">
        <color rgb="FFC9D4E3"/>
      </bottom>
    </border>
    <border>
      <left style="thin">
        <color rgb="FFC9D4E3"/>
      </left>
      <right style="thin">
        <color rgb="FFC9D4E3"/>
      </right>
      <top style="thin">
        <color rgb="FFC9D4E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C9D4E3"/>
      </left>
      <right style="thin">
        <color rgb="FFC9D4E3"/>
      </right>
      <bottom style="thin">
        <color rgb="FFC9D4E3"/>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3" fontId="3" numFmtId="0" xfId="0" applyAlignment="1" applyBorder="1" applyFill="1" applyFont="1">
      <alignment shrinkToFit="0" vertical="center" wrapText="1"/>
    </xf>
    <xf borderId="1" fillId="4" fontId="4" numFmtId="0" xfId="0" applyAlignment="1" applyBorder="1" applyFill="1" applyFont="1">
      <alignment shrinkToFit="0" vertical="center" wrapText="1"/>
    </xf>
    <xf borderId="4" fillId="5" fontId="5" numFmtId="0" xfId="0" applyAlignment="1" applyBorder="1" applyFill="1" applyFont="1">
      <alignment horizontal="center" shrinkToFit="0" vertical="center" wrapText="1"/>
    </xf>
    <xf borderId="1" fillId="6" fontId="6" numFmtId="0" xfId="0" applyAlignment="1" applyBorder="1" applyFill="1" applyFont="1">
      <alignment shrinkToFit="0" vertical="center" wrapText="1"/>
    </xf>
    <xf borderId="4" fillId="0" fontId="7" numFmtId="0" xfId="0" applyAlignment="1" applyBorder="1" applyFont="1">
      <alignment shrinkToFit="0" vertical="top" wrapText="1"/>
    </xf>
    <xf borderId="4" fillId="7" fontId="8" numFmtId="0" xfId="0" applyBorder="1" applyFill="1" applyFont="1"/>
    <xf borderId="4" fillId="0" fontId="7" numFmtId="0" xfId="0" applyAlignment="1" applyBorder="1" applyFont="1">
      <alignment horizontal="center" vertical="center"/>
    </xf>
    <xf borderId="0" fillId="0" fontId="7" numFmtId="0" xfId="0" applyAlignment="1" applyFont="1">
      <alignment shrinkToFit="0" vertical="top" wrapText="1"/>
    </xf>
    <xf borderId="5" fillId="8" fontId="7" numFmtId="0" xfId="0" applyAlignment="1" applyBorder="1" applyFill="1" applyFont="1">
      <alignment readingOrder="0" shrinkToFit="0" vertical="top" wrapText="1"/>
    </xf>
    <xf borderId="4" fillId="7" fontId="7" numFmtId="164" xfId="0" applyBorder="1" applyFill="1" applyFont="1" applyNumberFormat="1"/>
    <xf borderId="6" fillId="0" fontId="2" numFmtId="0" xfId="0" applyBorder="1" applyFont="1"/>
    <xf borderId="4" fillId="7" fontId="7" numFmtId="0" xfId="0" applyBorder="1" applyFill="1" applyFont="1"/>
    <xf borderId="7" fillId="0" fontId="2" numFmtId="0" xfId="0" applyBorder="1" applyFont="1"/>
    <xf borderId="4" fillId="7" fontId="7" numFmtId="3" xfId="0" applyBorder="1" applyFill="1" applyFont="1" applyNumberFormat="1"/>
    <xf borderId="4" fillId="0" fontId="9" numFmtId="0" xfId="0" applyAlignment="1" applyBorder="1" applyFont="1">
      <alignment horizontal="center" vertical="center"/>
    </xf>
    <xf borderId="4" fillId="0" fontId="10" numFmtId="0" xfId="0" applyAlignment="1" applyBorder="1" applyFont="1">
      <alignment shrinkToFit="0" vertical="top" wrapText="1"/>
    </xf>
    <xf borderId="8" fillId="9" fontId="11" numFmtId="0" xfId="0" applyAlignment="1" applyBorder="1" applyFill="1" applyFont="1">
      <alignment horizontal="center"/>
    </xf>
    <xf borderId="8" fillId="9" fontId="12" numFmtId="0" xfId="0" applyAlignment="1" applyBorder="1" applyFill="1" applyFont="1">
      <alignment shrinkToFit="0" wrapText="1"/>
    </xf>
    <xf borderId="4" fillId="0" fontId="13" numFmtId="0" xfId="0" applyAlignment="1" applyBorder="1" applyFont="1">
      <alignment horizontal="right"/>
    </xf>
    <xf borderId="4" fillId="0" fontId="13" numFmtId="0" xfId="0" applyAlignment="1" applyBorder="1" applyFont="1">
      <alignment horizontal="center" vertical="center"/>
    </xf>
    <xf borderId="8" fillId="10" fontId="11" numFmtId="0" xfId="0" applyAlignment="1" applyBorder="1" applyFill="1" applyFont="1">
      <alignment horizontal="center"/>
    </xf>
    <xf borderId="8" fillId="10" fontId="12" numFmtId="0" xfId="0" applyAlignment="1" applyBorder="1" applyFill="1" applyFont="1">
      <alignment shrinkToFit="0" wrapText="1"/>
    </xf>
    <xf borderId="4" fillId="8" fontId="7" numFmtId="0" xfId="0" applyBorder="1" applyFill="1" applyFont="1"/>
    <xf borderId="1" fillId="11" fontId="14" numFmtId="0" xfId="0" applyAlignment="1" applyBorder="1" applyFill="1" applyFont="1">
      <alignment shrinkToFit="0" vertical="center" wrapText="1"/>
    </xf>
    <xf borderId="4" fillId="12" fontId="7" numFmtId="0" xfId="0" applyBorder="1" applyFill="1" applyFont="1"/>
    <xf borderId="4" fillId="13" fontId="7" numFmtId="0" xfId="0" applyBorder="1" applyFill="1" applyFont="1"/>
    <xf borderId="4" fillId="14" fontId="7" numFmtId="0" xfId="0" applyBorder="1" applyFill="1" applyFont="1"/>
    <xf borderId="4" fillId="7" fontId="7" numFmtId="0" xfId="0" applyAlignment="1" applyBorder="1" applyFill="1" applyFont="1">
      <alignment shrinkToFit="0" vertical="top" wrapText="1"/>
    </xf>
    <xf borderId="8" fillId="9" fontId="11" numFmtId="0" xfId="0" applyAlignment="1" applyBorder="1" applyFill="1" applyFont="1">
      <alignment horizontal="center" readingOrder="0"/>
    </xf>
    <xf borderId="8" fillId="15" fontId="15" numFmtId="0" xfId="0" applyAlignment="1" applyBorder="1" applyFill="1" applyFont="1">
      <alignment shrinkToFit="0" vertical="top" wrapText="1"/>
    </xf>
    <xf borderId="8" fillId="9" fontId="12" numFmtId="0" xfId="0" applyAlignment="1" applyBorder="1" applyFill="1" applyFont="1">
      <alignment readingOrder="0" shrinkToFit="0" wrapText="1"/>
    </xf>
    <xf borderId="5" fillId="7" fontId="7" numFmtId="0" xfId="0" applyAlignment="1" applyBorder="1" applyFill="1" applyFont="1">
      <alignment shrinkToFit="0" vertical="top" wrapText="1"/>
    </xf>
    <xf borderId="5" fillId="8" fontId="7" numFmtId="0" xfId="0" applyAlignment="1" applyBorder="1" applyFill="1" applyFont="1">
      <alignment shrinkToFit="0" vertical="top" wrapText="1"/>
    </xf>
    <xf borderId="0" fillId="0" fontId="7" numFmtId="0" xfId="0" applyFont="1"/>
    <xf borderId="5" fillId="6" fontId="10" numFmtId="0" xfId="0" applyAlignment="1" applyBorder="1" applyFill="1" applyFont="1">
      <alignment shrinkToFit="0" vertical="top" wrapText="1"/>
    </xf>
    <xf borderId="4" fillId="0" fontId="13" numFmtId="3" xfId="0" applyBorder="1" applyFont="1" applyNumberFormat="1"/>
    <xf borderId="8" fillId="10" fontId="11" numFmtId="0" xfId="0" applyAlignment="1" applyBorder="1" applyFill="1" applyFont="1">
      <alignment horizontal="center" readingOrder="0"/>
    </xf>
    <xf borderId="8" fillId="10" fontId="15" numFmtId="0" xfId="0" applyAlignment="1" applyBorder="1" applyFill="1" applyFont="1">
      <alignment shrinkToFit="0" vertical="top" wrapText="1"/>
    </xf>
    <xf borderId="8" fillId="10" fontId="12" numFmtId="0" xfId="0" applyAlignment="1" applyBorder="1" applyFill="1" applyFont="1">
      <alignment readingOrder="0" shrinkToFit="0" wrapText="1"/>
    </xf>
    <xf borderId="9" fillId="4" fontId="7" numFmtId="0" xfId="0" applyAlignment="1" applyBorder="1" applyFill="1" applyFont="1">
      <alignment shrinkToFit="0" vertical="top" wrapText="1"/>
    </xf>
    <xf borderId="10" fillId="0" fontId="2" numFmtId="0" xfId="0" applyBorder="1" applyFont="1"/>
    <xf borderId="9" fillId="16" fontId="7" numFmtId="0" xfId="0" applyAlignment="1" applyBorder="1" applyFill="1" applyFont="1">
      <alignment shrinkToFit="0" vertical="top" wrapText="1"/>
    </xf>
    <xf borderId="11" fillId="0" fontId="2" numFmtId="0" xfId="0" applyBorder="1" applyFont="1"/>
    <xf borderId="12" fillId="0" fontId="2" numFmtId="0" xfId="0" applyBorder="1" applyFont="1"/>
    <xf borderId="13" fillId="0" fontId="2" numFmtId="0" xfId="0" applyBorder="1" applyFont="1"/>
    <xf borderId="9" fillId="8" fontId="7" numFmtId="0" xfId="0" applyAlignment="1" applyBorder="1" applyFill="1" applyFont="1">
      <alignment readingOrder="0" shrinkToFit="0" vertical="top" wrapText="1"/>
    </xf>
    <xf borderId="14" fillId="0" fontId="2" numFmtId="0" xfId="0" applyBorder="1" applyFont="1"/>
    <xf borderId="15" fillId="0" fontId="2" numFmtId="0" xfId="0" applyBorder="1" applyFont="1"/>
    <xf borderId="16" fillId="0" fontId="2" numFmtId="0" xfId="0" applyBorder="1" applyFont="1"/>
    <xf borderId="4" fillId="7" fontId="8" numFmtId="0" xfId="0" applyAlignment="1" applyBorder="1" applyFill="1" applyFont="1">
      <alignment shrinkToFit="0" vertical="top" wrapText="1"/>
    </xf>
    <xf borderId="8" fillId="17" fontId="16" numFmtId="0" xfId="0" applyAlignment="1" applyBorder="1" applyFill="1" applyFont="1">
      <alignment horizontal="center" vertical="top"/>
    </xf>
    <xf borderId="8" fillId="17" fontId="16" numFmtId="0" xfId="0" applyAlignment="1" applyBorder="1" applyFill="1" applyFont="1">
      <alignment shrinkToFit="0" vertical="top" wrapText="1"/>
    </xf>
    <xf borderId="8" fillId="10" fontId="16" numFmtId="0" xfId="0" applyAlignment="1" applyBorder="1" applyFill="1" applyFont="1">
      <alignment horizontal="center" vertical="top"/>
    </xf>
    <xf borderId="8" fillId="10" fontId="16" numFmtId="0" xfId="0" applyAlignment="1" applyBorder="1" applyFill="1" applyFont="1">
      <alignment shrinkToFit="0" vertical="top" wrapText="1"/>
    </xf>
    <xf borderId="8" fillId="10" fontId="16" numFmtId="0" xfId="0" applyAlignment="1" applyBorder="1" applyFill="1" applyFont="1">
      <alignment horizontal="center" readingOrder="0" vertical="top"/>
    </xf>
    <xf borderId="8" fillId="17" fontId="16" numFmtId="0" xfId="0" applyAlignment="1" applyBorder="1" applyFill="1" applyFont="1">
      <alignment horizontal="center" readingOrder="0" vertical="top"/>
    </xf>
    <xf borderId="9" fillId="16" fontId="17" numFmtId="0" xfId="0" applyAlignment="1" applyBorder="1" applyFill="1" applyFont="1">
      <alignment shrinkToFit="0" vertical="top" wrapText="1"/>
    </xf>
    <xf borderId="4" fillId="7" fontId="8" numFmtId="165" xfId="0" applyAlignment="1" applyBorder="1" applyFill="1" applyFont="1" applyNumberFormat="1">
      <alignment horizontal="center" vertical="center"/>
    </xf>
    <xf borderId="5" fillId="0" fontId="10" numFmtId="0" xfId="0" applyAlignment="1" applyBorder="1" applyFont="1">
      <alignment shrinkToFit="0" vertical="top" wrapText="1"/>
    </xf>
    <xf borderId="4" fillId="7" fontId="13" numFmtId="0" xfId="0" applyAlignment="1" applyBorder="1" applyFill="1" applyFont="1">
      <alignment horizontal="center" vertical="center"/>
    </xf>
    <xf borderId="8" fillId="9" fontId="15" numFmtId="0" xfId="0" applyAlignment="1" applyBorder="1" applyFill="1" applyFont="1">
      <alignment horizontal="center"/>
    </xf>
    <xf borderId="8" fillId="9" fontId="15" numFmtId="0" xfId="0" applyBorder="1" applyFill="1" applyFont="1"/>
    <xf borderId="4" fillId="7" fontId="10" numFmtId="0" xfId="0" applyAlignment="1" applyBorder="1" applyFill="1" applyFont="1">
      <alignment shrinkToFit="0" vertical="top" wrapText="1"/>
    </xf>
    <xf borderId="8" fillId="10" fontId="15" numFmtId="0" xfId="0" applyAlignment="1" applyBorder="1" applyFill="1" applyFont="1">
      <alignment horizontal="center"/>
    </xf>
    <xf borderId="8" fillId="10" fontId="15" numFmtId="0" xfId="0" applyBorder="1" applyFill="1" applyFont="1"/>
    <xf borderId="17" fillId="5" fontId="5" numFmtId="0" xfId="0" applyAlignment="1" applyBorder="1" applyFill="1" applyFont="1">
      <alignment horizontal="center" shrinkToFit="0" vertical="center" wrapText="1"/>
    </xf>
    <xf borderId="4" fillId="7" fontId="8" numFmtId="10" xfId="0" applyAlignment="1" applyBorder="1" applyFill="1" applyFont="1" applyNumberFormat="1">
      <alignment horizontal="center" vertical="center"/>
    </xf>
    <xf borderId="0" fillId="0" fontId="10" numFmtId="0" xfId="0" applyAlignment="1" applyFont="1">
      <alignment shrinkToFit="0" vertical="top" wrapText="1"/>
    </xf>
    <xf borderId="8" fillId="18" fontId="16" numFmtId="0" xfId="0" applyAlignment="1" applyBorder="1" applyFill="1" applyFont="1">
      <alignment horizontal="left" vertical="center"/>
    </xf>
    <xf borderId="0" fillId="0" fontId="18" numFmtId="0" xfId="0" applyAlignment="1" applyFont="1">
      <alignment readingOrder="0" vertical="center"/>
    </xf>
    <xf borderId="5" fillId="7" fontId="13" numFmtId="0" xfId="0" applyAlignment="1" applyBorder="1" applyFill="1" applyFont="1">
      <alignment horizontal="center" vertical="center"/>
    </xf>
    <xf borderId="18" fillId="8" fontId="18" numFmtId="0" xfId="0" applyAlignment="1" applyBorder="1" applyFill="1" applyFont="1">
      <alignment horizontal="center" vertical="center"/>
    </xf>
    <xf borderId="18" fillId="8" fontId="19" numFmtId="0" xfId="0" applyAlignment="1" applyBorder="1" applyFill="1" applyFont="1">
      <alignment horizontal="left" readingOrder="0" vertical="center"/>
    </xf>
    <xf borderId="8" fillId="10" fontId="16" numFmtId="0" xfId="0" applyAlignment="1" applyBorder="1" applyFill="1" applyFont="1">
      <alignment horizontal="left" vertical="center"/>
    </xf>
    <xf borderId="18" fillId="8" fontId="18" numFmtId="0" xfId="0" applyAlignment="1" applyBorder="1" applyFill="1" applyFont="1">
      <alignment horizontal="center" vertical="center"/>
    </xf>
    <xf borderId="8" fillId="18" fontId="16" numFmtId="0" xfId="0" applyAlignment="1" applyBorder="1" applyFill="1" applyFont="1">
      <alignment horizontal="left" readingOrder="0" vertical="center"/>
    </xf>
    <xf borderId="8" fillId="10" fontId="16" numFmtId="0" xfId="0" applyAlignment="1" applyBorder="1" applyFill="1" applyFont="1">
      <alignment horizontal="left" readingOrder="0" vertical="center"/>
    </xf>
    <xf borderId="5" fillId="19" fontId="5" numFmtId="0" xfId="0" applyAlignment="1" applyBorder="1" applyFill="1" applyFont="1">
      <alignment horizontal="center" vertical="center"/>
    </xf>
    <xf borderId="4" fillId="0" fontId="20" numFmtId="0" xfId="0" applyAlignment="1" applyBorder="1" applyFont="1">
      <alignment shrinkToFit="0" vertical="top" wrapText="1"/>
    </xf>
    <xf borderId="5" fillId="5" fontId="5" numFmtId="0" xfId="0" applyAlignment="1" applyBorder="1" applyFill="1" applyFont="1">
      <alignment horizontal="center" vertical="center"/>
    </xf>
    <xf borderId="5" fillId="0" fontId="7" numFmtId="0" xfId="0" applyAlignment="1" applyBorder="1" applyFont="1">
      <alignment shrinkToFit="0" vertical="top" wrapText="1"/>
    </xf>
    <xf borderId="18" fillId="8" fontId="21" numFmtId="0" xfId="0" applyAlignment="1" applyBorder="1" applyFill="1" applyFont="1">
      <alignment horizontal="left" vertical="center"/>
    </xf>
    <xf borderId="5" fillId="20" fontId="5" numFmtId="0" xfId="0" applyAlignment="1" applyBorder="1" applyFill="1" applyFont="1">
      <alignment horizontal="center" vertical="center"/>
    </xf>
    <xf borderId="4" fillId="7" fontId="7" numFmtId="0" xfId="0" applyAlignment="1" applyBorder="1" applyFill="1" applyFont="1">
      <alignment horizontal="center" vertical="center"/>
    </xf>
    <xf borderId="18" fillId="8" fontId="18" numFmtId="0" xfId="0" applyAlignment="1" applyBorder="1" applyFill="1" applyFont="1">
      <alignment horizontal="left" readingOrder="0" vertical="center"/>
    </xf>
    <xf borderId="18" fillId="8" fontId="18" numFmtId="0" xfId="0" applyAlignment="1" applyBorder="1" applyFill="1" applyFont="1">
      <alignment horizontal="center" readingOrder="0"/>
    </xf>
    <xf borderId="18" fillId="8" fontId="18" numFmtId="0" xfId="0" applyAlignment="1" applyBorder="1" applyFill="1" applyFont="1">
      <alignment horizontal="center" vertical="bottom"/>
    </xf>
    <xf borderId="8" fillId="9" fontId="7" numFmtId="0" xfId="0" applyAlignment="1" applyBorder="1" applyFill="1" applyFont="1">
      <alignment horizontal="left" vertical="center"/>
    </xf>
    <xf borderId="18" fillId="8" fontId="7" numFmtId="0" xfId="0" applyAlignment="1" applyBorder="1" applyFill="1" applyFont="1">
      <alignment horizontal="center" vertical="bottom"/>
    </xf>
    <xf borderId="18" fillId="8" fontId="18" numFmtId="0" xfId="0" applyAlignment="1" applyBorder="1" applyFill="1" applyFont="1">
      <alignment horizontal="center" vertical="bottom"/>
    </xf>
    <xf borderId="18" fillId="8" fontId="18" numFmtId="3" xfId="0" applyAlignment="1" applyBorder="1" applyFill="1" applyFont="1" applyNumberFormat="1">
      <alignment horizontal="center" vertical="bottom"/>
    </xf>
    <xf borderId="17" fillId="5" fontId="5" numFmtId="0" xfId="0" applyAlignment="1" applyBorder="1" applyFill="1" applyFont="1">
      <alignment horizontal="center" readingOrder="0" shrinkToFit="0" vertical="center" wrapText="1"/>
    </xf>
    <xf borderId="4" fillId="21" fontId="10" numFmtId="0" xfId="0" applyAlignment="1" applyBorder="1" applyFill="1" applyFont="1">
      <alignment horizontal="center" vertical="center"/>
    </xf>
    <xf borderId="4" fillId="8" fontId="7" numFmtId="0" xfId="0" applyAlignment="1" applyBorder="1" applyFill="1" applyFont="1">
      <alignment horizontal="center" vertical="center"/>
    </xf>
    <xf borderId="4" fillId="7" fontId="7" numFmtId="164" xfId="0" applyAlignment="1" applyBorder="1" applyFill="1" applyFont="1" applyNumberFormat="1">
      <alignment horizontal="center" vertical="center"/>
    </xf>
    <xf borderId="5" fillId="8" fontId="7" numFmtId="0" xfId="0" applyAlignment="1" applyBorder="1" applyFill="1" applyFont="1">
      <alignment horizontal="center" readingOrder="0" vertical="center"/>
    </xf>
    <xf borderId="19" fillId="8" fontId="18" numFmtId="0" xfId="0" applyAlignment="1" applyBorder="1" applyFill="1" applyFont="1">
      <alignment horizontal="center" readingOrder="0"/>
    </xf>
    <xf borderId="18" fillId="8" fontId="21" numFmtId="0" xfId="0" applyAlignment="1" applyBorder="1" applyFill="1" applyFont="1">
      <alignment horizontal="center"/>
    </xf>
    <xf borderId="18" fillId="8" fontId="18" numFmtId="166" xfId="0" applyAlignment="1" applyBorder="1" applyFill="1" applyFont="1" applyNumberFormat="1">
      <alignment horizontal="center" vertical="bottom"/>
    </xf>
    <xf borderId="7" fillId="7" fontId="7" numFmtId="0" xfId="0" applyAlignment="1" applyBorder="1" applyFill="1" applyFont="1">
      <alignment horizontal="center" vertical="center"/>
    </xf>
    <xf borderId="9" fillId="4" fontId="7" numFmtId="0" xfId="0" applyAlignment="1" applyBorder="1" applyFill="1" applyFont="1">
      <alignment readingOrder="0" shrinkToFit="0" vertical="top" wrapText="1"/>
    </xf>
    <xf borderId="9" fillId="8" fontId="22" numFmtId="0" xfId="0" applyAlignment="1" applyBorder="1" applyFill="1" applyFont="1">
      <alignment readingOrder="0" shrinkToFit="0" vertical="top" wrapText="1"/>
    </xf>
    <xf borderId="9" fillId="4" fontId="13" numFmtId="0" xfId="0" applyAlignment="1" applyBorder="1" applyFill="1" applyFont="1">
      <alignment readingOrder="0" shrinkToFit="0" vertical="top" wrapText="1"/>
    </xf>
    <xf borderId="4" fillId="0" fontId="13" numFmtId="3" xfId="0" applyAlignment="1" applyBorder="1" applyFont="1" applyNumberFormat="1">
      <alignment horizontal="center" vertical="center"/>
    </xf>
    <xf borderId="4" fillId="7" fontId="7" numFmtId="3" xfId="0" applyAlignment="1" applyBorder="1" applyFill="1" applyFont="1" applyNumberFormat="1">
      <alignment horizontal="center" vertical="center"/>
    </xf>
    <xf borderId="4" fillId="0" fontId="13" numFmtId="2" xfId="0" applyAlignment="1" applyBorder="1" applyFont="1" applyNumberFormat="1">
      <alignment horizontal="center" vertical="center"/>
    </xf>
    <xf borderId="4" fillId="7" fontId="7" numFmtId="165" xfId="0" applyAlignment="1" applyBorder="1" applyFill="1" applyFont="1" applyNumberFormat="1">
      <alignment horizontal="center" vertical="center"/>
    </xf>
    <xf borderId="4" fillId="0" fontId="23" numFmtId="0" xfId="0" applyAlignment="1" applyBorder="1" applyFont="1">
      <alignment horizontal="right"/>
    </xf>
    <xf borderId="4" fillId="0" fontId="24" numFmtId="0" xfId="0" applyAlignment="1" applyBorder="1" applyFont="1">
      <alignment horizontal="center" vertical="center"/>
    </xf>
    <xf borderId="20" fillId="0" fontId="7" numFmtId="0" xfId="0" applyAlignment="1" applyBorder="1" applyFont="1">
      <alignment horizontal="right"/>
    </xf>
    <xf borderId="20" fillId="0" fontId="13" numFmtId="0" xfId="0" applyAlignment="1" applyBorder="1" applyFont="1">
      <alignment horizontal="center" vertical="center"/>
    </xf>
    <xf borderId="14" fillId="0" fontId="7" numFmtId="0" xfId="0" applyAlignment="1" applyBorder="1" applyFont="1">
      <alignment horizontal="right"/>
    </xf>
    <xf borderId="9" fillId="4" fontId="11" numFmtId="0" xfId="0" applyAlignment="1" applyBorder="1" applyFill="1" applyFont="1">
      <alignment readingOrder="0" shrinkToFit="0" vertical="top" wrapText="1"/>
    </xf>
    <xf borderId="4" fillId="0" fontId="10" numFmtId="0" xfId="0" applyAlignment="1" applyBorder="1" applyFont="1">
      <alignment horizontal="right"/>
    </xf>
    <xf borderId="0" fillId="0" fontId="21" numFmtId="0" xfId="0" applyAlignment="1" applyFont="1">
      <alignment readingOrder="0"/>
    </xf>
    <xf borderId="20" fillId="0" fontId="13" numFmtId="0" xfId="0" applyAlignment="1" applyBorder="1" applyFont="1">
      <alignment horizontal="right"/>
    </xf>
    <xf borderId="20" fillId="0" fontId="13" numFmtId="3" xfId="0" applyBorder="1" applyFont="1" applyNumberFormat="1"/>
    <xf borderId="20" fillId="0" fontId="13" numFmtId="0" xfId="0" applyBorder="1" applyFont="1"/>
    <xf borderId="9" fillId="8" fontId="12" numFmtId="0" xfId="0" applyAlignment="1" applyBorder="1" applyFill="1" applyFont="1">
      <alignment readingOrder="0" shrinkToFit="0" vertical="top" wrapText="1"/>
    </xf>
  </cellXfs>
  <cellStyles count="1">
    <cellStyle xfId="0" name="Normal" builtinId="0"/>
  </cellStyles>
  <dxfs count="3">
    <dxf>
      <font/>
      <fill>
        <patternFill patternType="none"/>
      </fill>
      <border/>
    </dxf>
    <dxf>
      <font/>
      <fill>
        <patternFill patternType="solid">
          <fgColor rgb="FFF5FAF2"/>
          <bgColor rgb="FFF5FAF2"/>
        </patternFill>
      </fill>
      <border/>
    </dxf>
    <dxf>
      <font/>
      <fill>
        <patternFill patternType="solid">
          <fgColor rgb="FFFFFFFF"/>
          <bgColor rgb="FFFFFFFF"/>
        </patternFill>
      </fill>
      <border/>
    </dxf>
  </dxfs>
  <tableStyles count="1">
    <tableStyle count="2" pivot="0" name="T4 DimCit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J6:O19" displayName="Table_1" name="Table_1" id="1">
  <tableColumns count="6">
    <tableColumn name="Column1" id="1"/>
    <tableColumn name="Column2" id="2"/>
    <tableColumn name="Column3" id="3"/>
    <tableColumn name="Column4" id="4"/>
    <tableColumn name="Column5" id="5"/>
    <tableColumn name="Column6" id="6"/>
  </tableColumns>
  <tableStyleInfo name="T4 DimC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202E"/>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0"/>
    <col customWidth="1" min="2" max="2" width="34.0"/>
    <col customWidth="1" min="3" max="3" width="46.0"/>
    <col customWidth="1" min="4" max="5" width="12.0"/>
    <col customWidth="1" min="6" max="6" width="34.0"/>
    <col customWidth="1" min="7" max="26" width="8.71"/>
  </cols>
  <sheetData>
    <row r="1" ht="30.0" customHeight="1">
      <c r="A1" s="1" t="s">
        <v>0</v>
      </c>
      <c r="B1" s="2"/>
      <c r="C1" s="2"/>
      <c r="D1" s="2"/>
      <c r="E1" s="2"/>
      <c r="F1" s="3"/>
    </row>
    <row r="2" ht="30.0" customHeight="1">
      <c r="A2" s="4" t="s">
        <v>4</v>
      </c>
      <c r="B2" s="2"/>
      <c r="C2" s="2"/>
      <c r="D2" s="2"/>
      <c r="E2" s="2"/>
      <c r="F2" s="3"/>
    </row>
    <row r="4" ht="21.75" customHeight="1">
      <c r="A4" s="5" t="s">
        <v>8</v>
      </c>
      <c r="B4" s="2"/>
      <c r="C4" s="2"/>
      <c r="D4" s="2"/>
      <c r="E4" s="2"/>
      <c r="F4" s="3"/>
    </row>
    <row r="5" ht="61.5" customHeight="1">
      <c r="A5" s="7" t="s">
        <v>12</v>
      </c>
      <c r="B5" s="2"/>
      <c r="C5" s="2"/>
      <c r="D5" s="2"/>
      <c r="E5" s="2"/>
      <c r="F5" s="3"/>
    </row>
    <row r="7" ht="21.75" customHeight="1">
      <c r="A7" s="5" t="s">
        <v>25</v>
      </c>
      <c r="B7" s="2"/>
      <c r="C7" s="2"/>
      <c r="D7" s="2"/>
      <c r="E7" s="2"/>
      <c r="F7" s="3"/>
    </row>
    <row r="8" ht="27.75" customHeight="1">
      <c r="A8" s="11" t="s">
        <v>28</v>
      </c>
    </row>
    <row r="9" ht="27.75" customHeight="1">
      <c r="A9" s="11" t="s">
        <v>30</v>
      </c>
    </row>
    <row r="10" ht="27.75" customHeight="1">
      <c r="A10" s="11" t="s">
        <v>31</v>
      </c>
    </row>
    <row r="11" ht="27.75" customHeight="1">
      <c r="A11" s="11" t="s">
        <v>33</v>
      </c>
    </row>
    <row r="12" ht="27.75" customHeight="1">
      <c r="A12" s="11" t="s">
        <v>35</v>
      </c>
    </row>
    <row r="14" ht="21.75" customHeight="1">
      <c r="A14" s="5" t="s">
        <v>37</v>
      </c>
      <c r="B14" s="2"/>
      <c r="C14" s="2"/>
      <c r="D14" s="2"/>
      <c r="E14" s="2"/>
      <c r="F14" s="3"/>
    </row>
    <row r="15" ht="30.0" customHeight="1">
      <c r="A15" s="6" t="s">
        <v>11</v>
      </c>
      <c r="B15" s="6" t="s">
        <v>47</v>
      </c>
      <c r="C15" s="6" t="s">
        <v>49</v>
      </c>
      <c r="D15" s="6" t="s">
        <v>51</v>
      </c>
      <c r="E15" s="6" t="s">
        <v>52</v>
      </c>
      <c r="F15" s="6" t="s">
        <v>54</v>
      </c>
    </row>
    <row r="16" ht="25.5" customHeight="1">
      <c r="A16" s="18" t="s">
        <v>57</v>
      </c>
      <c r="B16" s="8" t="s">
        <v>60</v>
      </c>
      <c r="C16" s="8" t="s">
        <v>62</v>
      </c>
      <c r="D16" s="10">
        <v>10.0</v>
      </c>
      <c r="E16" s="10">
        <v>8.0</v>
      </c>
      <c r="F16" s="19" t="s">
        <v>67</v>
      </c>
    </row>
    <row r="17" ht="25.5" customHeight="1">
      <c r="A17" s="18" t="s">
        <v>70</v>
      </c>
      <c r="B17" s="8" t="s">
        <v>71</v>
      </c>
      <c r="C17" s="8" t="s">
        <v>73</v>
      </c>
      <c r="D17" s="10">
        <v>12.0</v>
      </c>
      <c r="E17" s="10">
        <v>10.0</v>
      </c>
      <c r="F17" s="19" t="s">
        <v>75</v>
      </c>
    </row>
    <row r="18" ht="25.5" customHeight="1">
      <c r="A18" s="18" t="s">
        <v>76</v>
      </c>
      <c r="B18" s="8" t="s">
        <v>77</v>
      </c>
      <c r="C18" s="8" t="s">
        <v>78</v>
      </c>
      <c r="D18" s="10">
        <v>10.0</v>
      </c>
      <c r="E18" s="10">
        <v>7.0</v>
      </c>
      <c r="F18" s="19" t="s">
        <v>80</v>
      </c>
    </row>
    <row r="19" ht="25.5" customHeight="1">
      <c r="A19" s="18" t="s">
        <v>81</v>
      </c>
      <c r="B19" s="8" t="s">
        <v>83</v>
      </c>
      <c r="C19" s="8" t="s">
        <v>84</v>
      </c>
      <c r="D19" s="10">
        <v>20.0</v>
      </c>
      <c r="E19" s="10">
        <v>15.0</v>
      </c>
      <c r="F19" s="19" t="s">
        <v>87</v>
      </c>
    </row>
    <row r="20" ht="25.5" customHeight="1">
      <c r="A20" s="18" t="s">
        <v>88</v>
      </c>
      <c r="B20" s="8" t="s">
        <v>89</v>
      </c>
      <c r="C20" s="8" t="s">
        <v>90</v>
      </c>
      <c r="D20" s="10">
        <v>20.0</v>
      </c>
      <c r="E20" s="10">
        <v>15.0</v>
      </c>
      <c r="F20" s="19" t="s">
        <v>93</v>
      </c>
    </row>
    <row r="21" ht="25.5" customHeight="1">
      <c r="A21" s="18" t="s">
        <v>94</v>
      </c>
      <c r="B21" s="8" t="s">
        <v>96</v>
      </c>
      <c r="C21" s="8" t="s">
        <v>99</v>
      </c>
      <c r="D21" s="10">
        <v>15.0</v>
      </c>
      <c r="E21" s="10">
        <v>12.0</v>
      </c>
      <c r="F21" s="19" t="s">
        <v>101</v>
      </c>
    </row>
    <row r="22" ht="25.5" customHeight="1">
      <c r="A22" s="18" t="s">
        <v>102</v>
      </c>
      <c r="B22" s="8" t="s">
        <v>103</v>
      </c>
      <c r="C22" s="8" t="s">
        <v>105</v>
      </c>
      <c r="D22" s="10">
        <v>8.0</v>
      </c>
      <c r="E22" s="10">
        <v>8.0</v>
      </c>
      <c r="F22" s="19" t="s">
        <v>107</v>
      </c>
    </row>
    <row r="23" ht="15.75" customHeight="1">
      <c r="C23" s="22" t="s">
        <v>109</v>
      </c>
      <c r="D23" s="23">
        <v>95.0</v>
      </c>
      <c r="E23" s="23">
        <v>75.0</v>
      </c>
    </row>
    <row r="24" ht="15.75" customHeight="1"/>
    <row r="25" ht="21.75" customHeight="1">
      <c r="A25" s="5" t="s">
        <v>115</v>
      </c>
      <c r="B25" s="2"/>
      <c r="C25" s="2"/>
      <c r="D25" s="2"/>
      <c r="E25" s="2"/>
      <c r="F25" s="3"/>
    </row>
    <row r="26" ht="15.75" customHeight="1">
      <c r="A26" s="26"/>
      <c r="B26" s="8" t="s">
        <v>125</v>
      </c>
    </row>
    <row r="27" ht="15.75" customHeight="1">
      <c r="A27" s="15"/>
      <c r="B27" s="8" t="s">
        <v>131</v>
      </c>
    </row>
    <row r="28" ht="15.75" customHeight="1">
      <c r="A28" s="28"/>
      <c r="B28" s="8" t="s">
        <v>140</v>
      </c>
    </row>
    <row r="29" ht="15.75" customHeight="1">
      <c r="A29" s="29"/>
      <c r="B29" s="8" t="s">
        <v>146</v>
      </c>
    </row>
    <row r="30" ht="15.75" customHeight="1">
      <c r="A30" s="30"/>
      <c r="B30" s="8" t="s">
        <v>155</v>
      </c>
    </row>
    <row r="31" ht="15.75" customHeight="1"/>
    <row r="32" ht="21.75" customHeight="1">
      <c r="A32" s="5" t="s">
        <v>159</v>
      </c>
      <c r="B32" s="2"/>
      <c r="C32" s="2"/>
      <c r="D32" s="2"/>
      <c r="E32" s="2"/>
      <c r="F32" s="3"/>
    </row>
    <row r="33" ht="30.0" customHeight="1">
      <c r="A33" s="6"/>
      <c r="B33" s="6" t="s">
        <v>168</v>
      </c>
      <c r="C33" s="6" t="s">
        <v>169</v>
      </c>
      <c r="D33" s="6"/>
      <c r="E33" s="6"/>
      <c r="F33" s="6" t="s">
        <v>172</v>
      </c>
    </row>
    <row r="34" ht="30.0" customHeight="1">
      <c r="B34" s="8" t="s">
        <v>148</v>
      </c>
      <c r="C34" s="35" t="s">
        <v>175</v>
      </c>
      <c r="D34" s="14"/>
      <c r="E34" s="16"/>
      <c r="F34" s="19" t="s">
        <v>180</v>
      </c>
    </row>
    <row r="35" ht="30.0" customHeight="1">
      <c r="B35" s="8" t="s">
        <v>182</v>
      </c>
      <c r="C35" s="36"/>
      <c r="D35" s="14"/>
      <c r="E35" s="16"/>
      <c r="F35" s="19" t="s">
        <v>188</v>
      </c>
    </row>
    <row r="36" ht="30.0" customHeight="1">
      <c r="B36" s="8" t="s">
        <v>189</v>
      </c>
      <c r="C36" s="36"/>
      <c r="D36" s="14"/>
      <c r="E36" s="16"/>
      <c r="F36" s="19" t="s">
        <v>192</v>
      </c>
    </row>
    <row r="37" ht="30.0" customHeight="1">
      <c r="B37" s="8" t="s">
        <v>193</v>
      </c>
      <c r="C37" s="36"/>
      <c r="D37" s="14"/>
      <c r="E37" s="16"/>
      <c r="F37" s="19" t="s">
        <v>196</v>
      </c>
    </row>
    <row r="38" ht="30.0" customHeight="1">
      <c r="B38" s="8" t="s">
        <v>197</v>
      </c>
      <c r="C38" s="36"/>
      <c r="D38" s="14"/>
      <c r="E38" s="16"/>
      <c r="F38" s="19" t="s">
        <v>201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F1"/>
    <mergeCell ref="A2:F2"/>
    <mergeCell ref="A4:F4"/>
    <mergeCell ref="A5:F5"/>
    <mergeCell ref="A7:F7"/>
    <mergeCell ref="A8:F8"/>
    <mergeCell ref="A9:F9"/>
    <mergeCell ref="C35:E35"/>
    <mergeCell ref="C36:E36"/>
    <mergeCell ref="C37:E37"/>
    <mergeCell ref="C38:E38"/>
    <mergeCell ref="A10:F10"/>
    <mergeCell ref="A11:F11"/>
    <mergeCell ref="A12:F12"/>
    <mergeCell ref="A14:F14"/>
    <mergeCell ref="A25:F25"/>
    <mergeCell ref="A32:F32"/>
    <mergeCell ref="C34:E3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6573"/>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4.0"/>
    <col customWidth="1" min="3" max="3" width="24.0"/>
    <col customWidth="1" min="4" max="4" width="22.0"/>
    <col customWidth="1" min="5" max="7" width="12.0"/>
    <col customWidth="1" min="8" max="8" width="14.0"/>
    <col customWidth="1" min="9" max="26" width="8.71"/>
  </cols>
  <sheetData>
    <row r="1" ht="30.0" customHeight="1">
      <c r="A1" s="1" t="s">
        <v>3</v>
      </c>
      <c r="B1" s="2"/>
      <c r="C1" s="2"/>
      <c r="D1" s="2"/>
      <c r="E1" s="2"/>
      <c r="F1" s="2"/>
      <c r="G1" s="2"/>
      <c r="H1" s="3"/>
    </row>
    <row r="2" ht="30.0" customHeight="1">
      <c r="A2" s="4" t="s">
        <v>5</v>
      </c>
      <c r="B2" s="2"/>
      <c r="C2" s="2"/>
      <c r="D2" s="2"/>
      <c r="E2" s="2"/>
      <c r="F2" s="2"/>
      <c r="G2" s="2"/>
      <c r="H2" s="3"/>
    </row>
    <row r="4" ht="30.0" customHeight="1">
      <c r="A4" s="6" t="s">
        <v>9</v>
      </c>
      <c r="B4" s="6" t="s">
        <v>13</v>
      </c>
      <c r="C4" s="6" t="s">
        <v>15</v>
      </c>
      <c r="D4" s="6" t="s">
        <v>17</v>
      </c>
      <c r="E4" s="6" t="s">
        <v>19</v>
      </c>
      <c r="F4" s="6" t="s">
        <v>21</v>
      </c>
      <c r="G4" s="6" t="s">
        <v>22</v>
      </c>
      <c r="H4" s="6" t="s">
        <v>24</v>
      </c>
    </row>
    <row r="5">
      <c r="A5" s="9" t="s">
        <v>27</v>
      </c>
      <c r="B5" s="13">
        <v>46054.0</v>
      </c>
      <c r="C5" s="15" t="s">
        <v>32</v>
      </c>
      <c r="D5" s="15" t="s">
        <v>34</v>
      </c>
      <c r="E5" s="17">
        <v>18000.0</v>
      </c>
      <c r="F5" s="17">
        <v>142000.0</v>
      </c>
      <c r="G5" s="15" t="s">
        <v>36</v>
      </c>
      <c r="H5" s="15" t="s">
        <v>38</v>
      </c>
    </row>
    <row r="6">
      <c r="A6" s="9" t="s">
        <v>39</v>
      </c>
      <c r="B6" s="13">
        <v>46055.0</v>
      </c>
      <c r="C6" s="15" t="s">
        <v>40</v>
      </c>
      <c r="D6" s="15" t="s">
        <v>41</v>
      </c>
      <c r="E6" s="17">
        <v>22500.0</v>
      </c>
      <c r="F6" s="17">
        <v>171000.0</v>
      </c>
      <c r="G6" s="15" t="s">
        <v>36</v>
      </c>
      <c r="H6" s="15" t="s">
        <v>38</v>
      </c>
    </row>
    <row r="7">
      <c r="A7" s="9" t="s">
        <v>42</v>
      </c>
      <c r="B7" s="13">
        <v>46056.0</v>
      </c>
      <c r="C7" s="15" t="s">
        <v>32</v>
      </c>
      <c r="D7" s="15" t="s">
        <v>34</v>
      </c>
      <c r="E7" s="17">
        <v>15000.0</v>
      </c>
      <c r="F7" s="17">
        <v>119000.0</v>
      </c>
      <c r="G7" s="15" t="s">
        <v>43</v>
      </c>
      <c r="H7" s="15" t="s">
        <v>38</v>
      </c>
    </row>
    <row r="8">
      <c r="A8" s="9" t="s">
        <v>44</v>
      </c>
      <c r="B8" s="13">
        <v>46057.0</v>
      </c>
      <c r="C8" s="15" t="s">
        <v>45</v>
      </c>
      <c r="D8" s="15" t="s">
        <v>46</v>
      </c>
      <c r="E8" s="17">
        <v>20000.0</v>
      </c>
      <c r="F8" s="17">
        <v>188000.0</v>
      </c>
      <c r="G8" s="15" t="s">
        <v>36</v>
      </c>
      <c r="H8" s="15" t="s">
        <v>38</v>
      </c>
    </row>
    <row r="9">
      <c r="A9" s="9" t="s">
        <v>48</v>
      </c>
      <c r="B9" s="13">
        <v>46058.0</v>
      </c>
      <c r="C9" s="15" t="s">
        <v>40</v>
      </c>
      <c r="D9" s="15" t="s">
        <v>50</v>
      </c>
      <c r="E9" s="17">
        <v>16500.0</v>
      </c>
      <c r="F9" s="17">
        <v>128000.0</v>
      </c>
      <c r="G9" s="15" t="s">
        <v>36</v>
      </c>
      <c r="H9" s="15" t="s">
        <v>38</v>
      </c>
    </row>
    <row r="10">
      <c r="A10" s="9" t="s">
        <v>53</v>
      </c>
      <c r="B10" s="13">
        <v>46059.0</v>
      </c>
      <c r="C10" s="15" t="s">
        <v>32</v>
      </c>
      <c r="D10" s="15" t="s">
        <v>55</v>
      </c>
      <c r="E10" s="17">
        <v>19000.0</v>
      </c>
      <c r="F10" s="17">
        <v>154000.0</v>
      </c>
      <c r="G10" s="15" t="s">
        <v>56</v>
      </c>
      <c r="H10" s="15" t="s">
        <v>38</v>
      </c>
    </row>
    <row r="11">
      <c r="A11" s="9" t="s">
        <v>58</v>
      </c>
      <c r="B11" s="13">
        <v>46060.0</v>
      </c>
      <c r="C11" s="15" t="s">
        <v>40</v>
      </c>
      <c r="D11" s="15" t="s">
        <v>34</v>
      </c>
      <c r="E11" s="17">
        <v>14000.0</v>
      </c>
      <c r="F11" s="17">
        <v>109000.0</v>
      </c>
      <c r="G11" s="15" t="s">
        <v>36</v>
      </c>
      <c r="H11" s="15" t="s">
        <v>38</v>
      </c>
    </row>
    <row r="12">
      <c r="A12" s="9" t="s">
        <v>59</v>
      </c>
      <c r="B12" s="13">
        <v>46062.0</v>
      </c>
      <c r="C12" s="15" t="s">
        <v>32</v>
      </c>
      <c r="D12" s="15" t="s">
        <v>61</v>
      </c>
      <c r="E12" s="17">
        <v>21000.0</v>
      </c>
      <c r="F12" s="17">
        <v>197000.0</v>
      </c>
      <c r="G12" s="15" t="s">
        <v>43</v>
      </c>
      <c r="H12" s="15" t="s">
        <v>38</v>
      </c>
    </row>
    <row r="13">
      <c r="A13" s="9" t="s">
        <v>63</v>
      </c>
      <c r="B13" s="13">
        <v>46063.0</v>
      </c>
      <c r="C13" s="15" t="s">
        <v>45</v>
      </c>
      <c r="D13" s="15" t="s">
        <v>64</v>
      </c>
      <c r="E13" s="17">
        <v>17500.0</v>
      </c>
      <c r="F13" s="17">
        <v>98000.0</v>
      </c>
      <c r="G13" s="15" t="s">
        <v>36</v>
      </c>
      <c r="H13" s="15" t="s">
        <v>38</v>
      </c>
    </row>
    <row r="14">
      <c r="A14" s="9" t="s">
        <v>65</v>
      </c>
      <c r="B14" s="13">
        <v>46064.0</v>
      </c>
      <c r="C14" s="15" t="s">
        <v>40</v>
      </c>
      <c r="D14" s="15" t="s">
        <v>66</v>
      </c>
      <c r="E14" s="17">
        <v>15500.0</v>
      </c>
      <c r="F14" s="17">
        <v>139000.0</v>
      </c>
      <c r="G14" s="15" t="s">
        <v>36</v>
      </c>
      <c r="H14" s="15" t="s">
        <v>38</v>
      </c>
    </row>
    <row r="15">
      <c r="A15" s="9" t="s">
        <v>69</v>
      </c>
      <c r="B15" s="13">
        <v>46065.0</v>
      </c>
      <c r="C15" s="15" t="s">
        <v>32</v>
      </c>
      <c r="D15" s="15" t="s">
        <v>72</v>
      </c>
      <c r="E15" s="17">
        <v>13500.0</v>
      </c>
      <c r="F15" s="17">
        <v>61000.0</v>
      </c>
      <c r="G15" s="15" t="s">
        <v>43</v>
      </c>
      <c r="H15" s="15" t="s">
        <v>38</v>
      </c>
    </row>
    <row r="16">
      <c r="A16" s="9" t="s">
        <v>74</v>
      </c>
      <c r="B16" s="13">
        <v>46066.0</v>
      </c>
      <c r="C16" s="15" t="s">
        <v>40</v>
      </c>
      <c r="D16" s="15" t="s">
        <v>34</v>
      </c>
      <c r="E16" s="17">
        <v>14000.0</v>
      </c>
      <c r="F16" s="17">
        <v>112000.0</v>
      </c>
      <c r="G16" s="15" t="s">
        <v>36</v>
      </c>
      <c r="H16" s="15" t="s">
        <v>38</v>
      </c>
    </row>
    <row r="17">
      <c r="A17" s="9" t="s">
        <v>79</v>
      </c>
      <c r="B17" s="13">
        <v>46056.0</v>
      </c>
      <c r="C17" s="15" t="s">
        <v>64</v>
      </c>
      <c r="D17" s="15" t="s">
        <v>82</v>
      </c>
      <c r="E17" s="17">
        <v>32500.0</v>
      </c>
      <c r="F17" s="17">
        <v>285000.0</v>
      </c>
      <c r="G17" s="15" t="s">
        <v>36</v>
      </c>
      <c r="H17" s="15" t="s">
        <v>85</v>
      </c>
    </row>
    <row r="18">
      <c r="A18" s="9" t="s">
        <v>86</v>
      </c>
      <c r="B18" s="13">
        <v>46056.0</v>
      </c>
      <c r="C18" s="15" t="s">
        <v>64</v>
      </c>
      <c r="D18" s="15" t="s">
        <v>91</v>
      </c>
      <c r="E18" s="17">
        <v>28750.0</v>
      </c>
      <c r="F18" s="17">
        <v>301000.0</v>
      </c>
      <c r="G18" s="15" t="s">
        <v>36</v>
      </c>
      <c r="H18" s="15" t="s">
        <v>85</v>
      </c>
    </row>
    <row r="19">
      <c r="A19" s="9" t="s">
        <v>95</v>
      </c>
      <c r="B19" s="13">
        <v>46057.0</v>
      </c>
      <c r="C19" s="15" t="s">
        <v>98</v>
      </c>
      <c r="D19" s="15" t="s">
        <v>100</v>
      </c>
      <c r="E19" s="17">
        <v>30000.0</v>
      </c>
      <c r="F19" s="17">
        <v>262000.0</v>
      </c>
      <c r="G19" s="15" t="s">
        <v>43</v>
      </c>
      <c r="H19" s="15" t="s">
        <v>85</v>
      </c>
    </row>
    <row r="20">
      <c r="A20" s="9" t="s">
        <v>104</v>
      </c>
      <c r="B20" s="13">
        <v>46058.0</v>
      </c>
      <c r="C20" s="15" t="s">
        <v>64</v>
      </c>
      <c r="D20" s="15" t="s">
        <v>50</v>
      </c>
      <c r="E20" s="17">
        <v>26500.0</v>
      </c>
      <c r="F20" s="17">
        <v>198000.0</v>
      </c>
      <c r="G20" s="15" t="s">
        <v>36</v>
      </c>
      <c r="H20" s="15" t="s">
        <v>85</v>
      </c>
    </row>
    <row r="21" ht="15.75" customHeight="1">
      <c r="A21" s="9" t="s">
        <v>108</v>
      </c>
      <c r="B21" s="13">
        <v>46059.0</v>
      </c>
      <c r="C21" s="15" t="s">
        <v>98</v>
      </c>
      <c r="D21" s="15" t="s">
        <v>82</v>
      </c>
      <c r="E21" s="17">
        <v>31250.0</v>
      </c>
      <c r="F21" s="17">
        <v>276000.0</v>
      </c>
      <c r="G21" s="15" t="s">
        <v>56</v>
      </c>
      <c r="H21" s="15" t="s">
        <v>85</v>
      </c>
    </row>
    <row r="22" ht="15.75" customHeight="1">
      <c r="A22" s="9" t="s">
        <v>110</v>
      </c>
      <c r="B22" s="13">
        <v>46060.0</v>
      </c>
      <c r="C22" s="15" t="s">
        <v>64</v>
      </c>
      <c r="D22" s="15" t="s">
        <v>112</v>
      </c>
      <c r="E22" s="17">
        <v>29000.0</v>
      </c>
      <c r="F22" s="17">
        <v>334000.0</v>
      </c>
      <c r="G22" s="15" t="s">
        <v>36</v>
      </c>
      <c r="H22" s="15" t="s">
        <v>85</v>
      </c>
    </row>
    <row r="23" ht="15.75" customHeight="1">
      <c r="A23" s="9" t="s">
        <v>113</v>
      </c>
      <c r="B23" s="13">
        <v>46062.0</v>
      </c>
      <c r="C23" s="15" t="s">
        <v>98</v>
      </c>
      <c r="D23" s="15" t="s">
        <v>91</v>
      </c>
      <c r="E23" s="17">
        <v>27500.0</v>
      </c>
      <c r="F23" s="17">
        <v>289000.0</v>
      </c>
      <c r="G23" s="15" t="s">
        <v>56</v>
      </c>
      <c r="H23" s="15" t="s">
        <v>85</v>
      </c>
    </row>
    <row r="24" ht="15.75" customHeight="1">
      <c r="A24" s="9" t="s">
        <v>114</v>
      </c>
      <c r="B24" s="13">
        <v>46063.0</v>
      </c>
      <c r="C24" s="15" t="s">
        <v>64</v>
      </c>
      <c r="D24" s="15" t="s">
        <v>82</v>
      </c>
      <c r="E24" s="17">
        <v>33000.0</v>
      </c>
      <c r="F24" s="17">
        <v>291000.0</v>
      </c>
      <c r="G24" s="15" t="s">
        <v>36</v>
      </c>
      <c r="H24" s="15" t="s">
        <v>85</v>
      </c>
    </row>
    <row r="25" ht="15.75" customHeight="1">
      <c r="A25" s="9" t="s">
        <v>116</v>
      </c>
      <c r="B25" s="13">
        <v>46064.0</v>
      </c>
      <c r="C25" s="15" t="s">
        <v>64</v>
      </c>
      <c r="D25" s="15" t="s">
        <v>118</v>
      </c>
      <c r="E25" s="17">
        <v>28250.0</v>
      </c>
      <c r="F25" s="17">
        <v>142000.0</v>
      </c>
      <c r="G25" s="15" t="s">
        <v>43</v>
      </c>
      <c r="H25" s="15" t="s">
        <v>85</v>
      </c>
    </row>
    <row r="26" ht="15.75" customHeight="1">
      <c r="A26" s="9" t="s">
        <v>120</v>
      </c>
      <c r="B26" s="13">
        <v>46065.0</v>
      </c>
      <c r="C26" s="15" t="s">
        <v>98</v>
      </c>
      <c r="D26" s="15" t="s">
        <v>50</v>
      </c>
      <c r="E26" s="17">
        <v>28500.0</v>
      </c>
      <c r="F26" s="17">
        <v>207000.0</v>
      </c>
      <c r="G26" s="15" t="s">
        <v>36</v>
      </c>
      <c r="H26" s="15" t="s">
        <v>85</v>
      </c>
    </row>
    <row r="27" ht="15.75" customHeight="1">
      <c r="A27" s="9" t="s">
        <v>123</v>
      </c>
      <c r="B27" s="13">
        <v>46055.0</v>
      </c>
      <c r="C27" s="15" t="s">
        <v>82</v>
      </c>
      <c r="D27" s="15" t="s">
        <v>124</v>
      </c>
      <c r="E27" s="17">
        <v>6500.0</v>
      </c>
      <c r="F27" s="17">
        <v>58000.0</v>
      </c>
      <c r="G27" s="15" t="s">
        <v>36</v>
      </c>
      <c r="H27" s="15" t="s">
        <v>127</v>
      </c>
    </row>
    <row r="28" ht="15.75" customHeight="1">
      <c r="A28" s="9" t="s">
        <v>128</v>
      </c>
      <c r="B28" s="13">
        <v>46055.0</v>
      </c>
      <c r="C28" s="15" t="s">
        <v>129</v>
      </c>
      <c r="D28" s="15" t="s">
        <v>72</v>
      </c>
      <c r="E28" s="17">
        <v>7200.0</v>
      </c>
      <c r="F28" s="17">
        <v>41000.0</v>
      </c>
      <c r="G28" s="15" t="s">
        <v>36</v>
      </c>
      <c r="H28" s="15" t="s">
        <v>127</v>
      </c>
    </row>
    <row r="29" ht="15.75" customHeight="1">
      <c r="A29" s="9" t="s">
        <v>133</v>
      </c>
      <c r="B29" s="13">
        <v>46056.0</v>
      </c>
      <c r="C29" s="15" t="s">
        <v>82</v>
      </c>
      <c r="D29" s="15" t="s">
        <v>100</v>
      </c>
      <c r="E29" s="17">
        <v>5800.0</v>
      </c>
      <c r="F29" s="17">
        <v>32000.0</v>
      </c>
      <c r="G29" s="15" t="s">
        <v>43</v>
      </c>
      <c r="H29" s="15" t="s">
        <v>127</v>
      </c>
    </row>
    <row r="30" ht="15.75" customHeight="1">
      <c r="A30" s="9" t="s">
        <v>138</v>
      </c>
      <c r="B30" s="13">
        <v>46057.0</v>
      </c>
      <c r="C30" s="15" t="s">
        <v>50</v>
      </c>
      <c r="D30" s="15" t="s">
        <v>82</v>
      </c>
      <c r="E30" s="17">
        <v>6900.0</v>
      </c>
      <c r="F30" s="17">
        <v>61000.0</v>
      </c>
      <c r="G30" s="15" t="s">
        <v>36</v>
      </c>
      <c r="H30" s="15" t="s">
        <v>127</v>
      </c>
    </row>
    <row r="31" ht="15.75" customHeight="1">
      <c r="A31" s="9" t="s">
        <v>141</v>
      </c>
      <c r="B31" s="13">
        <v>46058.0</v>
      </c>
      <c r="C31" s="15" t="s">
        <v>124</v>
      </c>
      <c r="D31" s="15" t="s">
        <v>61</v>
      </c>
      <c r="E31" s="17">
        <v>6100.0</v>
      </c>
      <c r="F31" s="17">
        <v>47000.0</v>
      </c>
      <c r="G31" s="15" t="s">
        <v>36</v>
      </c>
      <c r="H31" s="15" t="s">
        <v>127</v>
      </c>
    </row>
    <row r="32" ht="15.75" customHeight="1">
      <c r="A32" s="9" t="s">
        <v>144</v>
      </c>
      <c r="B32" s="13">
        <v>46059.0</v>
      </c>
      <c r="C32" s="15" t="s">
        <v>129</v>
      </c>
      <c r="D32" s="15" t="s">
        <v>118</v>
      </c>
      <c r="E32" s="17">
        <v>7400.0</v>
      </c>
      <c r="F32" s="17">
        <v>83000.0</v>
      </c>
      <c r="G32" s="15" t="s">
        <v>56</v>
      </c>
      <c r="H32" s="15" t="s">
        <v>127</v>
      </c>
    </row>
    <row r="33" ht="15.75" customHeight="1">
      <c r="A33" s="9" t="s">
        <v>147</v>
      </c>
      <c r="B33" s="13">
        <v>46060.0</v>
      </c>
      <c r="C33" s="15" t="s">
        <v>82</v>
      </c>
      <c r="D33" s="15" t="s">
        <v>151</v>
      </c>
      <c r="E33" s="17">
        <v>5900.0</v>
      </c>
      <c r="F33" s="17">
        <v>39000.0</v>
      </c>
      <c r="G33" s="15" t="s">
        <v>36</v>
      </c>
      <c r="H33" s="15" t="s">
        <v>127</v>
      </c>
    </row>
    <row r="34" ht="15.75" customHeight="1">
      <c r="A34" s="9" t="s">
        <v>156</v>
      </c>
      <c r="B34" s="13">
        <v>46062.0</v>
      </c>
      <c r="C34" s="15" t="s">
        <v>46</v>
      </c>
      <c r="D34" s="15" t="s">
        <v>129</v>
      </c>
      <c r="E34" s="17">
        <v>6600.0</v>
      </c>
      <c r="F34" s="17">
        <v>92000.0</v>
      </c>
      <c r="G34" s="15" t="s">
        <v>43</v>
      </c>
      <c r="H34" s="15" t="s">
        <v>127</v>
      </c>
    </row>
    <row r="35" ht="15.75" customHeight="1">
      <c r="A35" s="9" t="s">
        <v>161</v>
      </c>
      <c r="B35" s="13">
        <v>46063.0</v>
      </c>
      <c r="C35" s="15" t="s">
        <v>100</v>
      </c>
      <c r="D35" s="15" t="s">
        <v>50</v>
      </c>
      <c r="E35" s="17">
        <v>6200.0</v>
      </c>
      <c r="F35" s="17">
        <v>44000.0</v>
      </c>
      <c r="G35" s="15" t="s">
        <v>36</v>
      </c>
      <c r="H35" s="15" t="s">
        <v>127</v>
      </c>
    </row>
    <row r="36" ht="15.75" customHeight="1">
      <c r="A36" s="9" t="s">
        <v>163</v>
      </c>
      <c r="B36" s="13">
        <v>46064.0</v>
      </c>
      <c r="C36" s="15" t="s">
        <v>82</v>
      </c>
      <c r="D36" s="15" t="s">
        <v>166</v>
      </c>
      <c r="E36" s="17">
        <v>7000.0</v>
      </c>
      <c r="F36" s="17">
        <v>27000.0</v>
      </c>
      <c r="G36" s="15" t="s">
        <v>36</v>
      </c>
      <c r="H36" s="15" t="s">
        <v>127</v>
      </c>
    </row>
    <row r="37" ht="15.75" customHeight="1">
      <c r="A37" s="9" t="s">
        <v>170</v>
      </c>
      <c r="B37" s="13">
        <v>46065.0</v>
      </c>
      <c r="C37" s="15" t="s">
        <v>129</v>
      </c>
      <c r="D37" s="15" t="s">
        <v>72</v>
      </c>
      <c r="E37" s="17">
        <v>5500.0</v>
      </c>
      <c r="F37" s="17">
        <v>36000.0</v>
      </c>
      <c r="G37" s="15" t="s">
        <v>43</v>
      </c>
      <c r="H37" s="15" t="s">
        <v>127</v>
      </c>
    </row>
    <row r="38" ht="15.75" customHeight="1">
      <c r="A38" s="9" t="s">
        <v>173</v>
      </c>
      <c r="B38" s="13">
        <v>46066.0</v>
      </c>
      <c r="C38" s="15" t="s">
        <v>91</v>
      </c>
      <c r="D38" s="15" t="s">
        <v>174</v>
      </c>
      <c r="E38" s="17">
        <v>5800.0</v>
      </c>
      <c r="F38" s="17">
        <v>45000.0</v>
      </c>
      <c r="G38" s="15" t="s">
        <v>36</v>
      </c>
      <c r="H38" s="15" t="s">
        <v>127</v>
      </c>
    </row>
    <row r="39" ht="15.75" customHeight="1">
      <c r="D39" s="22" t="s">
        <v>178</v>
      </c>
      <c r="E39" s="39">
        <f t="shared" ref="E39:F39" si="1">SUM(E5:E38)</f>
        <v>578650</v>
      </c>
      <c r="F39" s="39">
        <f t="shared" si="1"/>
        <v>4808000</v>
      </c>
    </row>
    <row r="40" ht="15.75" customHeight="1"/>
    <row r="41" ht="25.5" customHeight="1">
      <c r="A41" s="27" t="s">
        <v>203</v>
      </c>
      <c r="B41" s="2"/>
      <c r="C41" s="2"/>
      <c r="D41" s="2"/>
      <c r="E41" s="2"/>
      <c r="F41" s="2"/>
      <c r="G41" s="2"/>
      <c r="H41" s="3"/>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2:H2"/>
    <mergeCell ref="A41:H4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A8C"/>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8.0"/>
    <col customWidth="1" min="3" max="3" width="11.0"/>
    <col customWidth="1" min="4" max="4" width="32.0"/>
    <col customWidth="1" min="5" max="5" width="62.0"/>
    <col customWidth="1" min="6" max="6" width="3.0"/>
    <col customWidth="1" min="7" max="26" width="8.71"/>
  </cols>
  <sheetData>
    <row r="1">
      <c r="A1" s="1" t="s">
        <v>1</v>
      </c>
      <c r="B1" s="2"/>
      <c r="C1" s="2"/>
      <c r="D1" s="2"/>
      <c r="E1" s="3"/>
    </row>
    <row r="2">
      <c r="A2" s="4" t="s">
        <v>7</v>
      </c>
      <c r="B2" s="2"/>
      <c r="C2" s="2"/>
      <c r="D2" s="2"/>
      <c r="E2" s="3"/>
    </row>
    <row r="4">
      <c r="A4" s="6" t="s">
        <v>11</v>
      </c>
      <c r="B4" s="6" t="s">
        <v>14</v>
      </c>
      <c r="C4" s="6" t="s">
        <v>18</v>
      </c>
      <c r="D4" s="6" t="s">
        <v>20</v>
      </c>
      <c r="E4" s="6" t="s">
        <v>23</v>
      </c>
    </row>
    <row r="5">
      <c r="A5" s="10">
        <v>1.0</v>
      </c>
      <c r="B5" s="9" t="s">
        <v>29</v>
      </c>
      <c r="C5" s="20" t="s">
        <v>68</v>
      </c>
      <c r="D5" s="21" t="s">
        <v>92</v>
      </c>
      <c r="E5" s="21" t="s">
        <v>97</v>
      </c>
    </row>
    <row r="6">
      <c r="A6" s="10">
        <v>2.0</v>
      </c>
      <c r="B6" s="9" t="s">
        <v>106</v>
      </c>
      <c r="C6" s="24" t="s">
        <v>111</v>
      </c>
      <c r="D6" s="25" t="s">
        <v>117</v>
      </c>
      <c r="E6" s="25" t="s">
        <v>121</v>
      </c>
    </row>
    <row r="7">
      <c r="A7" s="10">
        <v>3.0</v>
      </c>
      <c r="B7" s="9" t="s">
        <v>122</v>
      </c>
      <c r="C7" s="20" t="s">
        <v>126</v>
      </c>
      <c r="D7" s="21" t="s">
        <v>117</v>
      </c>
      <c r="E7" s="21" t="s">
        <v>130</v>
      </c>
    </row>
    <row r="8">
      <c r="A8" s="10">
        <v>4.0</v>
      </c>
      <c r="B8" s="9" t="s">
        <v>132</v>
      </c>
      <c r="C8" s="24" t="s">
        <v>134</v>
      </c>
      <c r="D8" s="25" t="s">
        <v>135</v>
      </c>
      <c r="E8" s="25" t="s">
        <v>136</v>
      </c>
    </row>
    <row r="9">
      <c r="A9" s="10">
        <v>5.0</v>
      </c>
      <c r="B9" s="9" t="s">
        <v>139</v>
      </c>
      <c r="C9" s="20" t="s">
        <v>68</v>
      </c>
      <c r="D9" s="21" t="s">
        <v>142</v>
      </c>
      <c r="E9" s="21" t="s">
        <v>143</v>
      </c>
    </row>
    <row r="10">
      <c r="A10" s="10">
        <v>6.0</v>
      </c>
      <c r="B10" s="9" t="s">
        <v>145</v>
      </c>
      <c r="C10" s="24" t="s">
        <v>111</v>
      </c>
      <c r="D10" s="25" t="s">
        <v>117</v>
      </c>
      <c r="E10" s="25" t="s">
        <v>149</v>
      </c>
    </row>
    <row r="11">
      <c r="A11" s="10">
        <v>7.0</v>
      </c>
      <c r="B11" s="9" t="s">
        <v>153</v>
      </c>
      <c r="C11" s="20" t="s">
        <v>68</v>
      </c>
      <c r="D11" s="21" t="s">
        <v>158</v>
      </c>
      <c r="E11" s="21" t="s">
        <v>160</v>
      </c>
    </row>
    <row r="12">
      <c r="A12" s="10">
        <v>8.0</v>
      </c>
      <c r="B12" s="9" t="s">
        <v>162</v>
      </c>
      <c r="C12" s="24" t="s">
        <v>134</v>
      </c>
      <c r="D12" s="25" t="s">
        <v>135</v>
      </c>
      <c r="E12" s="25" t="s">
        <v>165</v>
      </c>
    </row>
    <row r="13">
      <c r="A13" s="10">
        <v>9.0</v>
      </c>
      <c r="B13" s="9" t="s">
        <v>167</v>
      </c>
      <c r="C13" s="32" t="s">
        <v>111</v>
      </c>
      <c r="D13" s="34" t="s">
        <v>117</v>
      </c>
      <c r="E13" s="34" t="s">
        <v>179</v>
      </c>
    </row>
    <row r="14" ht="23.25" customHeight="1">
      <c r="A14" s="10">
        <v>10.0</v>
      </c>
      <c r="B14" s="9" t="s">
        <v>181</v>
      </c>
      <c r="C14" s="24" t="s">
        <v>111</v>
      </c>
      <c r="D14" s="25" t="s">
        <v>117</v>
      </c>
      <c r="E14" s="25" t="s">
        <v>183</v>
      </c>
    </row>
    <row r="15" ht="23.25" customHeight="1">
      <c r="A15" s="10">
        <v>11.0</v>
      </c>
      <c r="B15" s="9" t="s">
        <v>184</v>
      </c>
      <c r="C15" s="20" t="s">
        <v>68</v>
      </c>
      <c r="D15" s="21" t="s">
        <v>186</v>
      </c>
      <c r="E15" s="21" t="s">
        <v>187</v>
      </c>
    </row>
    <row r="16" ht="42.75" customHeight="1">
      <c r="A16" s="10">
        <v>12.0</v>
      </c>
      <c r="B16" s="9" t="s">
        <v>190</v>
      </c>
      <c r="C16" s="40" t="s">
        <v>126</v>
      </c>
      <c r="D16" s="42" t="s">
        <v>117</v>
      </c>
      <c r="E16" s="42" t="s">
        <v>199</v>
      </c>
    </row>
    <row r="17">
      <c r="B17" s="22" t="s">
        <v>204</v>
      </c>
      <c r="C17" s="23" t="str">
        <f>COUNTA(C5:C16)&amp;" / 12"</f>
        <v>12 / 12</v>
      </c>
    </row>
    <row r="19">
      <c r="A19" s="5" t="s">
        <v>218</v>
      </c>
      <c r="B19" s="2"/>
      <c r="C19" s="2"/>
      <c r="D19" s="2"/>
      <c r="E19" s="3"/>
    </row>
    <row r="20" ht="35.25" customHeight="1">
      <c r="A20" s="43" t="s">
        <v>220</v>
      </c>
      <c r="B20" s="44"/>
      <c r="C20" s="49" t="s">
        <v>222</v>
      </c>
      <c r="D20" s="46"/>
      <c r="E20" s="44"/>
    </row>
    <row r="21">
      <c r="A21" s="50"/>
      <c r="B21" s="52"/>
      <c r="C21" s="50"/>
      <c r="D21" s="51"/>
      <c r="E21" s="52"/>
    </row>
    <row r="22" ht="39.0" customHeight="1">
      <c r="A22" s="43" t="s">
        <v>223</v>
      </c>
      <c r="B22" s="44"/>
      <c r="C22" s="49" t="s">
        <v>224</v>
      </c>
      <c r="D22" s="46"/>
      <c r="E22" s="44"/>
    </row>
    <row r="23">
      <c r="A23" s="50"/>
      <c r="B23" s="52"/>
      <c r="C23" s="50"/>
      <c r="D23" s="51"/>
      <c r="E23" s="52"/>
    </row>
    <row r="24" ht="37.5" customHeight="1">
      <c r="A24" s="43" t="s">
        <v>226</v>
      </c>
      <c r="B24" s="44"/>
      <c r="C24" s="49" t="s">
        <v>228</v>
      </c>
      <c r="D24" s="46"/>
      <c r="E24" s="44"/>
    </row>
    <row r="25">
      <c r="A25" s="50"/>
      <c r="B25" s="52"/>
      <c r="C25" s="50"/>
      <c r="D25" s="51"/>
      <c r="E25" s="52"/>
    </row>
    <row r="27">
      <c r="A27" s="27" t="s">
        <v>229</v>
      </c>
      <c r="B27" s="2"/>
      <c r="C27" s="2"/>
      <c r="D27" s="2"/>
      <c r="E27" s="3"/>
    </row>
  </sheetData>
  <mergeCells count="10">
    <mergeCell ref="A24:B25"/>
    <mergeCell ref="C24:E25"/>
    <mergeCell ref="A27:E27"/>
    <mergeCell ref="A1:E1"/>
    <mergeCell ref="A2:E2"/>
    <mergeCell ref="A19:E19"/>
    <mergeCell ref="A20:B21"/>
    <mergeCell ref="C20:E21"/>
    <mergeCell ref="A22:B23"/>
    <mergeCell ref="C22:E23"/>
  </mergeCells>
  <dataValidations>
    <dataValidation type="list" allowBlank="1" sqref="C5:C16">
      <formula1>"F,D,DD,X"</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A8C"/>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30.0"/>
    <col customWidth="1" min="3" max="3" width="42.0"/>
    <col customWidth="1" min="4" max="6" width="34.0"/>
    <col customWidth="1" min="7" max="26" width="8.71"/>
  </cols>
  <sheetData>
    <row r="1" ht="30.0" customHeight="1">
      <c r="A1" s="1" t="s">
        <v>2</v>
      </c>
      <c r="B1" s="2"/>
      <c r="C1" s="2"/>
      <c r="D1" s="2"/>
      <c r="E1" s="2"/>
      <c r="F1" s="3"/>
    </row>
    <row r="2" ht="30.0" customHeight="1">
      <c r="A2" s="4" t="s">
        <v>6</v>
      </c>
      <c r="B2" s="2"/>
      <c r="C2" s="2"/>
      <c r="D2" s="2"/>
      <c r="E2" s="2"/>
      <c r="F2" s="3"/>
    </row>
    <row r="4" ht="21.75" customHeight="1">
      <c r="A4" s="5" t="s">
        <v>10</v>
      </c>
      <c r="B4" s="2"/>
      <c r="C4" s="2"/>
      <c r="D4" s="2"/>
      <c r="E4" s="2"/>
      <c r="F4" s="3"/>
    </row>
    <row r="5" ht="30.0" customHeight="1">
      <c r="B5" s="8" t="s">
        <v>16</v>
      </c>
      <c r="C5" s="12" t="s">
        <v>26</v>
      </c>
      <c r="D5" s="14"/>
      <c r="E5" s="16"/>
      <c r="F5" s="8" t="str">
        <f>IF(C5="","— not written yet",IF(ISNUMBER(SEARCH(" and ",C5)),"✘ contains 'and' — that is two fact tables","✔ no 'and' — one grain"))</f>
        <v>✔ no 'and' — one grain</v>
      </c>
    </row>
    <row r="6" ht="25.5" customHeight="1">
      <c r="A6" s="27" t="s">
        <v>119</v>
      </c>
      <c r="B6" s="2"/>
      <c r="C6" s="2"/>
      <c r="D6" s="2"/>
      <c r="E6" s="2"/>
      <c r="F6" s="3"/>
    </row>
    <row r="8" ht="21.75" customHeight="1">
      <c r="A8" s="5" t="s">
        <v>137</v>
      </c>
      <c r="B8" s="2"/>
      <c r="C8" s="2"/>
      <c r="D8" s="2"/>
      <c r="E8" s="2"/>
      <c r="F8" s="3"/>
    </row>
    <row r="9" ht="30.0" customHeight="1">
      <c r="A9" s="6" t="s">
        <v>11</v>
      </c>
      <c r="B9" s="6" t="s">
        <v>148</v>
      </c>
      <c r="C9" s="6" t="s">
        <v>150</v>
      </c>
      <c r="D9" s="6" t="s">
        <v>152</v>
      </c>
      <c r="E9" s="6" t="s">
        <v>154</v>
      </c>
      <c r="F9" s="6" t="s">
        <v>157</v>
      </c>
    </row>
    <row r="10" ht="55.5" customHeight="1">
      <c r="A10" s="10">
        <v>1.0</v>
      </c>
      <c r="B10" s="31" t="s">
        <v>164</v>
      </c>
      <c r="C10" s="33" t="s">
        <v>171</v>
      </c>
      <c r="D10" s="33" t="s">
        <v>176</v>
      </c>
      <c r="E10" s="33" t="s">
        <v>177</v>
      </c>
      <c r="F10" s="33" t="s">
        <v>185</v>
      </c>
    </row>
    <row r="11" ht="15.75" customHeight="1">
      <c r="A11" s="37"/>
      <c r="B11" s="38" t="s">
        <v>191</v>
      </c>
      <c r="C11" s="14"/>
      <c r="D11" s="14"/>
      <c r="E11" s="14"/>
      <c r="F11" s="16"/>
    </row>
    <row r="12" ht="55.5" customHeight="1">
      <c r="A12" s="10">
        <v>2.0</v>
      </c>
      <c r="B12" s="31" t="s">
        <v>194</v>
      </c>
      <c r="C12" s="41" t="s">
        <v>195</v>
      </c>
      <c r="D12" s="41" t="s">
        <v>198</v>
      </c>
      <c r="E12" s="41" t="s">
        <v>200</v>
      </c>
      <c r="F12" s="41" t="s">
        <v>202</v>
      </c>
    </row>
    <row r="13" ht="15.75" customHeight="1">
      <c r="A13" s="37"/>
      <c r="B13" s="38" t="s">
        <v>205</v>
      </c>
      <c r="C13" s="14"/>
      <c r="D13" s="14"/>
      <c r="E13" s="14"/>
      <c r="F13" s="16"/>
    </row>
    <row r="14" ht="85.5" customHeight="1">
      <c r="A14" s="10">
        <v>3.0</v>
      </c>
      <c r="B14" s="31" t="s">
        <v>206</v>
      </c>
      <c r="C14" s="33" t="s">
        <v>207</v>
      </c>
      <c r="D14" s="33" t="s">
        <v>208</v>
      </c>
      <c r="E14" s="33" t="s">
        <v>209</v>
      </c>
      <c r="F14" s="33" t="s">
        <v>210</v>
      </c>
    </row>
    <row r="15" ht="15.75" customHeight="1">
      <c r="A15" s="37"/>
      <c r="B15" s="38" t="s">
        <v>211</v>
      </c>
      <c r="C15" s="14"/>
      <c r="D15" s="14"/>
      <c r="E15" s="14"/>
      <c r="F15" s="16"/>
    </row>
    <row r="16" ht="55.5" customHeight="1">
      <c r="A16" s="10">
        <v>4.0</v>
      </c>
      <c r="B16" s="31" t="s">
        <v>212</v>
      </c>
      <c r="C16" s="41" t="s">
        <v>213</v>
      </c>
      <c r="D16" s="41" t="s">
        <v>214</v>
      </c>
      <c r="E16" s="41" t="s">
        <v>215</v>
      </c>
      <c r="F16" s="41" t="s">
        <v>216</v>
      </c>
    </row>
    <row r="17" ht="15.75" customHeight="1">
      <c r="A17" s="37"/>
      <c r="B17" s="38" t="s">
        <v>217</v>
      </c>
      <c r="C17" s="14"/>
      <c r="D17" s="14"/>
      <c r="E17" s="14"/>
      <c r="F17" s="16"/>
    </row>
    <row r="19" ht="21.75" customHeight="1">
      <c r="A19" s="5" t="s">
        <v>219</v>
      </c>
      <c r="B19" s="2"/>
      <c r="C19" s="2"/>
      <c r="D19" s="2"/>
      <c r="E19" s="2"/>
      <c r="F19" s="3"/>
    </row>
    <row r="20">
      <c r="B20" s="45" t="s">
        <v>221</v>
      </c>
      <c r="C20" s="46"/>
      <c r="D20" s="46"/>
      <c r="E20" s="46"/>
      <c r="F20" s="44"/>
    </row>
    <row r="21" ht="15.75" customHeight="1">
      <c r="B21" s="47"/>
      <c r="F21" s="48"/>
    </row>
    <row r="22" ht="24.75" customHeight="1">
      <c r="B22" s="50"/>
      <c r="C22" s="51"/>
      <c r="D22" s="51"/>
      <c r="E22" s="51"/>
      <c r="F22" s="52"/>
    </row>
    <row r="23" ht="30.0" customHeight="1">
      <c r="B23" s="49" t="s">
        <v>225</v>
      </c>
      <c r="C23" s="46"/>
      <c r="D23" s="46"/>
      <c r="E23" s="46"/>
      <c r="F23" s="44"/>
    </row>
    <row r="24" ht="30.0" customHeight="1">
      <c r="B24" s="50"/>
      <c r="C24" s="51"/>
      <c r="D24" s="51"/>
      <c r="E24" s="51"/>
      <c r="F24" s="52"/>
    </row>
    <row r="25" ht="15.75" customHeight="1"/>
    <row r="26" ht="25.5" customHeight="1">
      <c r="A26" s="27" t="s">
        <v>227</v>
      </c>
      <c r="B26" s="2"/>
      <c r="C26" s="2"/>
      <c r="D26" s="2"/>
      <c r="E26" s="2"/>
      <c r="F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3:F13"/>
    <mergeCell ref="B15:F15"/>
    <mergeCell ref="B17:F17"/>
    <mergeCell ref="A19:F19"/>
    <mergeCell ref="B20:F22"/>
    <mergeCell ref="B23:F24"/>
    <mergeCell ref="A26:F26"/>
    <mergeCell ref="A1:F1"/>
    <mergeCell ref="A2:F2"/>
    <mergeCell ref="A4:F4"/>
    <mergeCell ref="C5:E5"/>
    <mergeCell ref="A6:F6"/>
    <mergeCell ref="A8:F8"/>
    <mergeCell ref="B11:F11"/>
  </mergeCells>
  <dataValidations>
    <dataValidation type="list" allowBlank="1" sqref="F10 F12 F14 F16">
      <formula1>"Transaction,Periodic snapshot,Accumulating snapshot"</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A8C"/>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8.0"/>
    <col customWidth="1" min="3" max="3" width="17.0"/>
    <col customWidth="1" min="4" max="4" width="15.0"/>
    <col customWidth="1" min="5" max="5" width="48.0"/>
    <col customWidth="1" min="6" max="6" width="52.0"/>
    <col customWidth="1" min="7" max="26" width="8.71"/>
  </cols>
  <sheetData>
    <row r="1" ht="30.0" customHeight="1">
      <c r="A1" s="1" t="s">
        <v>230</v>
      </c>
      <c r="B1" s="2"/>
      <c r="C1" s="2"/>
      <c r="D1" s="2"/>
      <c r="E1" s="2"/>
      <c r="F1" s="3"/>
    </row>
    <row r="2" ht="30.0" customHeight="1">
      <c r="A2" s="4" t="s">
        <v>231</v>
      </c>
      <c r="B2" s="2"/>
      <c r="C2" s="2"/>
      <c r="D2" s="2"/>
      <c r="E2" s="2"/>
      <c r="F2" s="3"/>
    </row>
    <row r="4" ht="30.0" customHeight="1">
      <c r="A4" s="6" t="s">
        <v>11</v>
      </c>
      <c r="B4" s="6" t="s">
        <v>232</v>
      </c>
      <c r="C4" s="6" t="s">
        <v>233</v>
      </c>
      <c r="D4" s="6" t="s">
        <v>234</v>
      </c>
      <c r="E4" s="6" t="s">
        <v>235</v>
      </c>
      <c r="F4" s="6" t="s">
        <v>236</v>
      </c>
    </row>
    <row r="5" ht="27.75" customHeight="1">
      <c r="A5" s="10">
        <v>1.0</v>
      </c>
      <c r="B5" s="53" t="s">
        <v>19</v>
      </c>
      <c r="C5" s="54" t="s">
        <v>237</v>
      </c>
      <c r="D5" s="54" t="s">
        <v>238</v>
      </c>
      <c r="E5" s="55" t="s">
        <v>239</v>
      </c>
      <c r="F5" s="55" t="s">
        <v>240</v>
      </c>
    </row>
    <row r="6" ht="27.75" customHeight="1">
      <c r="A6" s="10">
        <v>2.0</v>
      </c>
      <c r="B6" s="53" t="s">
        <v>241</v>
      </c>
      <c r="C6" s="56" t="s">
        <v>237</v>
      </c>
      <c r="D6" s="56" t="s">
        <v>238</v>
      </c>
      <c r="E6" s="57" t="s">
        <v>242</v>
      </c>
      <c r="F6" s="57" t="s">
        <v>243</v>
      </c>
    </row>
    <row r="7" ht="27.75" customHeight="1">
      <c r="A7" s="10">
        <v>3.0</v>
      </c>
      <c r="B7" s="53" t="s">
        <v>244</v>
      </c>
      <c r="C7" s="54" t="s">
        <v>237</v>
      </c>
      <c r="D7" s="54" t="s">
        <v>238</v>
      </c>
      <c r="E7" s="55" t="s">
        <v>246</v>
      </c>
      <c r="F7" s="55" t="s">
        <v>247</v>
      </c>
    </row>
    <row r="8">
      <c r="A8" s="10">
        <v>4.0</v>
      </c>
      <c r="B8" s="53" t="s">
        <v>248</v>
      </c>
      <c r="C8" s="58" t="s">
        <v>249</v>
      </c>
      <c r="D8" s="56" t="s">
        <v>250</v>
      </c>
      <c r="E8" s="57" t="s">
        <v>251</v>
      </c>
      <c r="F8" s="57" t="s">
        <v>252</v>
      </c>
    </row>
    <row r="9" ht="27.75" customHeight="1">
      <c r="A9" s="10">
        <v>5.0</v>
      </c>
      <c r="B9" s="53" t="s">
        <v>253</v>
      </c>
      <c r="C9" s="59" t="s">
        <v>249</v>
      </c>
      <c r="D9" s="54" t="s">
        <v>250</v>
      </c>
      <c r="E9" s="55" t="s">
        <v>254</v>
      </c>
      <c r="F9" s="55" t="s">
        <v>255</v>
      </c>
    </row>
    <row r="10" ht="27.75" customHeight="1">
      <c r="A10" s="10">
        <v>6.0</v>
      </c>
      <c r="B10" s="53" t="s">
        <v>257</v>
      </c>
      <c r="C10" s="58" t="s">
        <v>258</v>
      </c>
      <c r="D10" s="56" t="s">
        <v>250</v>
      </c>
      <c r="E10" s="57" t="s">
        <v>259</v>
      </c>
      <c r="F10" s="57" t="s">
        <v>260</v>
      </c>
    </row>
    <row r="11" ht="27.75" customHeight="1">
      <c r="A11" s="10">
        <v>7.0</v>
      </c>
      <c r="B11" s="53" t="s">
        <v>261</v>
      </c>
      <c r="C11" s="59" t="s">
        <v>258</v>
      </c>
      <c r="D11" s="54" t="s">
        <v>250</v>
      </c>
      <c r="E11" s="55" t="s">
        <v>262</v>
      </c>
      <c r="F11" s="55" t="s">
        <v>263</v>
      </c>
    </row>
    <row r="12" ht="27.75" customHeight="1">
      <c r="A12" s="10">
        <v>8.0</v>
      </c>
      <c r="B12" s="53" t="s">
        <v>264</v>
      </c>
      <c r="C12" s="58" t="s">
        <v>258</v>
      </c>
      <c r="D12" s="56" t="s">
        <v>250</v>
      </c>
      <c r="E12" s="57" t="s">
        <v>265</v>
      </c>
      <c r="F12" s="57" t="s">
        <v>266</v>
      </c>
    </row>
    <row r="13" ht="27.75" customHeight="1">
      <c r="A13" s="10">
        <v>9.0</v>
      </c>
      <c r="B13" s="53" t="s">
        <v>106</v>
      </c>
      <c r="C13" s="54" t="s">
        <v>237</v>
      </c>
      <c r="D13" s="54" t="s">
        <v>238</v>
      </c>
      <c r="E13" s="55" t="s">
        <v>268</v>
      </c>
      <c r="F13" s="55" t="s">
        <v>269</v>
      </c>
    </row>
    <row r="14" ht="27.75" customHeight="1">
      <c r="A14" s="10">
        <v>10.0</v>
      </c>
      <c r="B14" s="53" t="s">
        <v>270</v>
      </c>
      <c r="C14" s="58" t="s">
        <v>258</v>
      </c>
      <c r="D14" s="56" t="s">
        <v>250</v>
      </c>
      <c r="E14" s="57" t="s">
        <v>271</v>
      </c>
      <c r="F14" s="57" t="s">
        <v>272</v>
      </c>
    </row>
    <row r="16" ht="21.75" customHeight="1">
      <c r="A16" s="5" t="s">
        <v>273</v>
      </c>
      <c r="B16" s="2"/>
      <c r="C16" s="2"/>
      <c r="D16" s="2"/>
      <c r="E16" s="2"/>
      <c r="F16" s="3"/>
    </row>
    <row r="17" ht="24.0" customHeight="1">
      <c r="B17" s="8" t="s">
        <v>275</v>
      </c>
      <c r="C17" s="61">
        <f>SUMPRODUCT(Shipments_Unified!F5:F38/Shipments_Unified!E5:E38)/34</f>
        <v>8.060354964</v>
      </c>
      <c r="D17" s="62" t="s">
        <v>279</v>
      </c>
      <c r="E17" s="14"/>
      <c r="F17" s="16"/>
    </row>
    <row r="18" ht="24.0" customHeight="1">
      <c r="B18" s="8" t="s">
        <v>283</v>
      </c>
      <c r="C18" s="61">
        <f>SUM(Shipments_Unified!F5:F38)/SUM(Shipments_Unified!E5:E38)</f>
        <v>8.308995075</v>
      </c>
      <c r="D18" s="62" t="s">
        <v>290</v>
      </c>
      <c r="E18" s="14"/>
      <c r="F18" s="16"/>
    </row>
    <row r="19" ht="24.0" customHeight="1">
      <c r="B19" s="8" t="s">
        <v>291</v>
      </c>
      <c r="C19" s="61">
        <f>C18-C17</f>
        <v>0.2486401104</v>
      </c>
      <c r="D19" s="62" t="s">
        <v>299</v>
      </c>
      <c r="E19" s="14"/>
      <c r="F19" s="16"/>
    </row>
    <row r="20" ht="24.0" customHeight="1">
      <c r="B20" s="8" t="s">
        <v>305</v>
      </c>
      <c r="C20" s="70">
        <f>(C18-C17)/C17</f>
        <v>0.03084729041</v>
      </c>
      <c r="D20" s="62" t="s">
        <v>322</v>
      </c>
      <c r="E20" s="14"/>
      <c r="F20" s="16"/>
    </row>
    <row r="21" ht="15.75" customHeight="1">
      <c r="B21" s="71" t="s">
        <v>326</v>
      </c>
    </row>
    <row r="22" ht="23.25" customHeight="1">
      <c r="B22" s="73" t="s">
        <v>328</v>
      </c>
    </row>
    <row r="23" ht="21.75" customHeight="1">
      <c r="A23" s="5" t="s">
        <v>335</v>
      </c>
      <c r="B23" s="2"/>
      <c r="C23" s="2"/>
      <c r="D23" s="2"/>
      <c r="E23" s="2"/>
      <c r="F23" s="3"/>
    </row>
    <row r="24" ht="24.0" customHeight="1">
      <c r="B24" s="43" t="s">
        <v>341</v>
      </c>
      <c r="C24" s="44"/>
      <c r="D24" s="49" t="s">
        <v>349</v>
      </c>
      <c r="E24" s="46"/>
      <c r="F24" s="44"/>
    </row>
    <row r="25" ht="24.0" customHeight="1">
      <c r="B25" s="50"/>
      <c r="C25" s="52"/>
      <c r="D25" s="50"/>
      <c r="E25" s="51"/>
      <c r="F25" s="52"/>
    </row>
    <row r="26" ht="24.0" customHeight="1">
      <c r="B26" s="43" t="s">
        <v>354</v>
      </c>
      <c r="C26" s="44"/>
      <c r="D26" s="49" t="s">
        <v>361</v>
      </c>
      <c r="E26" s="46"/>
      <c r="F26" s="44"/>
    </row>
    <row r="27" ht="24.0" customHeight="1">
      <c r="B27" s="50"/>
      <c r="C27" s="52"/>
      <c r="D27" s="50"/>
      <c r="E27" s="51"/>
      <c r="F27" s="52"/>
    </row>
    <row r="28" ht="24.0" customHeight="1">
      <c r="B28" s="43" t="s">
        <v>367</v>
      </c>
      <c r="C28" s="44"/>
      <c r="D28" s="49" t="s">
        <v>370</v>
      </c>
      <c r="E28" s="46"/>
      <c r="F28" s="44"/>
    </row>
    <row r="29" ht="24.0" customHeight="1">
      <c r="B29" s="50"/>
      <c r="C29" s="52"/>
      <c r="D29" s="50"/>
      <c r="E29" s="51"/>
      <c r="F29" s="52"/>
    </row>
    <row r="30" ht="15.75" customHeight="1"/>
    <row r="31" ht="25.5" customHeight="1">
      <c r="A31" s="27" t="s">
        <v>378</v>
      </c>
      <c r="B31" s="2"/>
      <c r="C31" s="2"/>
      <c r="D31" s="2"/>
      <c r="E31" s="2"/>
      <c r="F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2:F2"/>
    <mergeCell ref="A16:F16"/>
    <mergeCell ref="D17:F17"/>
    <mergeCell ref="D18:F18"/>
    <mergeCell ref="D19:F19"/>
    <mergeCell ref="D20:F20"/>
    <mergeCell ref="D28:F29"/>
    <mergeCell ref="A31:F31"/>
    <mergeCell ref="B22:F22"/>
    <mergeCell ref="A23:F23"/>
    <mergeCell ref="B24:C25"/>
    <mergeCell ref="D24:F25"/>
    <mergeCell ref="B26:C27"/>
    <mergeCell ref="D26:F27"/>
    <mergeCell ref="B28:C29"/>
  </mergeCells>
  <dataValidations>
    <dataValidation type="list" allowBlank="1" sqref="C5:C14">
      <formula1>"Additive,Semi-additive,Non-additive"</formula1>
    </dataValidation>
    <dataValidation type="list" allowBlank="1" sqref="D5:D14">
      <formula1>"Yes,No"</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A8C"/>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6.14"/>
    <col customWidth="1" min="2" max="2" width="24.43"/>
    <col customWidth="1" min="3" max="3" width="17.43"/>
    <col customWidth="1" min="4" max="4" width="24.0"/>
    <col customWidth="1" min="5" max="5" width="15.0"/>
    <col customWidth="1" min="6" max="6" width="8.57"/>
    <col customWidth="1" min="7" max="7" width="27.86"/>
    <col customWidth="1" min="8" max="8" width="3.0"/>
    <col customWidth="1" min="9" max="9" width="7.0"/>
    <col customWidth="1" min="10" max="10" width="12.0"/>
    <col customWidth="1" min="11" max="11" width="19.14"/>
    <col customWidth="1" min="12" max="12" width="14.71"/>
    <col customWidth="1" min="13" max="13" width="11.14"/>
    <col customWidth="1" min="14" max="14" width="10.43"/>
    <col customWidth="1" min="15" max="15" width="75.43"/>
    <col customWidth="1" min="16" max="26" width="8.71"/>
  </cols>
  <sheetData>
    <row r="1" ht="30.0" customHeight="1">
      <c r="A1" s="1" t="s">
        <v>277</v>
      </c>
      <c r="B1" s="2"/>
      <c r="C1" s="2"/>
      <c r="D1" s="2"/>
      <c r="E1" s="2"/>
      <c r="F1" s="2"/>
      <c r="G1" s="2"/>
      <c r="H1" s="2"/>
      <c r="I1" s="2"/>
      <c r="J1" s="2"/>
      <c r="K1" s="2"/>
      <c r="L1" s="2"/>
      <c r="M1" s="2"/>
      <c r="N1" s="2"/>
      <c r="O1" s="3"/>
    </row>
    <row r="2" ht="30.0" customHeight="1">
      <c r="A2" s="4" t="s">
        <v>284</v>
      </c>
      <c r="B2" s="2"/>
      <c r="C2" s="2"/>
      <c r="D2" s="2"/>
      <c r="E2" s="2"/>
      <c r="F2" s="2"/>
      <c r="G2" s="2"/>
      <c r="H2" s="2"/>
      <c r="I2" s="2"/>
      <c r="J2" s="2"/>
      <c r="K2" s="2"/>
      <c r="L2" s="2"/>
      <c r="M2" s="2"/>
      <c r="N2" s="2"/>
      <c r="O2" s="3"/>
    </row>
    <row r="4" ht="21.75" customHeight="1">
      <c r="A4" s="5" t="s">
        <v>289</v>
      </c>
      <c r="B4" s="2"/>
      <c r="C4" s="2"/>
      <c r="D4" s="2"/>
      <c r="E4" s="2"/>
      <c r="F4" s="2"/>
      <c r="G4" s="2"/>
      <c r="H4" s="2"/>
      <c r="I4" s="2"/>
      <c r="J4" s="2"/>
      <c r="K4" s="2"/>
      <c r="L4" s="2"/>
      <c r="M4" s="2"/>
      <c r="N4" s="2"/>
      <c r="O4" s="3"/>
    </row>
    <row r="5" ht="30.0" customHeight="1">
      <c r="A5" s="6" t="s">
        <v>11</v>
      </c>
      <c r="B5" s="6" t="s">
        <v>296</v>
      </c>
      <c r="C5" s="6" t="s">
        <v>297</v>
      </c>
      <c r="D5" s="6" t="s">
        <v>298</v>
      </c>
      <c r="E5" s="6" t="s">
        <v>301</v>
      </c>
      <c r="F5" s="6" t="s">
        <v>302</v>
      </c>
      <c r="G5" s="6" t="s">
        <v>307</v>
      </c>
      <c r="I5" s="6" t="s">
        <v>309</v>
      </c>
      <c r="J5" s="69" t="s">
        <v>311</v>
      </c>
      <c r="K5" s="69" t="s">
        <v>298</v>
      </c>
      <c r="L5" s="69" t="s">
        <v>301</v>
      </c>
      <c r="M5" s="69" t="s">
        <v>316</v>
      </c>
      <c r="N5" s="69" t="s">
        <v>318</v>
      </c>
      <c r="O5" s="69" t="s">
        <v>321</v>
      </c>
    </row>
    <row r="6" ht="25.5" customHeight="1">
      <c r="A6" s="10">
        <v>1.0</v>
      </c>
      <c r="B6" s="9" t="s">
        <v>32</v>
      </c>
      <c r="C6" s="72" t="s">
        <v>129</v>
      </c>
      <c r="D6" s="72" t="s">
        <v>331</v>
      </c>
      <c r="E6" s="72" t="s">
        <v>332</v>
      </c>
      <c r="F6" s="72" t="s">
        <v>238</v>
      </c>
      <c r="G6" s="72" t="s">
        <v>334</v>
      </c>
      <c r="I6" s="74">
        <v>1.0</v>
      </c>
      <c r="J6" s="75" t="s">
        <v>82</v>
      </c>
      <c r="K6" s="75" t="s">
        <v>342</v>
      </c>
      <c r="L6" s="75" t="s">
        <v>344</v>
      </c>
      <c r="M6" s="75" t="s">
        <v>238</v>
      </c>
      <c r="N6" s="75" t="s">
        <v>345</v>
      </c>
      <c r="O6" s="76" t="s">
        <v>347</v>
      </c>
    </row>
    <row r="7" ht="25.5" customHeight="1">
      <c r="A7" s="10">
        <v>2.0</v>
      </c>
      <c r="B7" s="9" t="s">
        <v>40</v>
      </c>
      <c r="C7" s="77" t="s">
        <v>129</v>
      </c>
      <c r="D7" s="77" t="s">
        <v>331</v>
      </c>
      <c r="E7" s="77" t="s">
        <v>332</v>
      </c>
      <c r="F7" s="77" t="s">
        <v>238</v>
      </c>
      <c r="G7" s="77" t="s">
        <v>334</v>
      </c>
      <c r="I7" s="74">
        <v>2.0</v>
      </c>
      <c r="J7" s="75" t="s">
        <v>124</v>
      </c>
      <c r="K7" s="75" t="s">
        <v>357</v>
      </c>
      <c r="L7" s="78" t="s">
        <v>359</v>
      </c>
      <c r="M7" s="75" t="s">
        <v>238</v>
      </c>
      <c r="N7" s="75" t="s">
        <v>345</v>
      </c>
      <c r="O7" s="76" t="s">
        <v>364</v>
      </c>
    </row>
    <row r="8" ht="25.5" customHeight="1">
      <c r="A8" s="10">
        <v>3.0</v>
      </c>
      <c r="B8" s="9" t="s">
        <v>45</v>
      </c>
      <c r="C8" s="72" t="s">
        <v>365</v>
      </c>
      <c r="D8" s="72" t="s">
        <v>366</v>
      </c>
      <c r="E8" s="79" t="s">
        <v>368</v>
      </c>
      <c r="F8" s="72" t="s">
        <v>238</v>
      </c>
      <c r="G8" s="72" t="s">
        <v>334</v>
      </c>
      <c r="I8" s="74">
        <v>3.0</v>
      </c>
      <c r="J8" s="75" t="s">
        <v>129</v>
      </c>
      <c r="K8" s="75" t="s">
        <v>331</v>
      </c>
      <c r="L8" s="75" t="s">
        <v>332</v>
      </c>
      <c r="M8" s="75" t="s">
        <v>238</v>
      </c>
      <c r="N8" s="75" t="s">
        <v>334</v>
      </c>
      <c r="O8" s="76" t="s">
        <v>373</v>
      </c>
    </row>
    <row r="9" ht="25.5" customHeight="1">
      <c r="A9" s="10">
        <v>4.0</v>
      </c>
      <c r="B9" s="9" t="s">
        <v>64</v>
      </c>
      <c r="C9" s="77" t="s">
        <v>129</v>
      </c>
      <c r="D9" s="77" t="s">
        <v>331</v>
      </c>
      <c r="E9" s="77" t="s">
        <v>332</v>
      </c>
      <c r="F9" s="80" t="s">
        <v>238</v>
      </c>
      <c r="G9" s="80" t="s">
        <v>334</v>
      </c>
      <c r="I9" s="74">
        <v>4.0</v>
      </c>
      <c r="J9" s="75" t="s">
        <v>72</v>
      </c>
      <c r="K9" s="75" t="s">
        <v>331</v>
      </c>
      <c r="L9" s="75" t="s">
        <v>332</v>
      </c>
      <c r="M9" s="75" t="s">
        <v>238</v>
      </c>
      <c r="N9" s="75" t="s">
        <v>345</v>
      </c>
      <c r="O9" s="76" t="s">
        <v>380</v>
      </c>
    </row>
    <row r="10" ht="25.5" customHeight="1">
      <c r="A10" s="10">
        <v>5.0</v>
      </c>
      <c r="B10" s="9" t="s">
        <v>98</v>
      </c>
      <c r="C10" s="72" t="s">
        <v>129</v>
      </c>
      <c r="D10" s="72" t="s">
        <v>331</v>
      </c>
      <c r="E10" s="72" t="s">
        <v>332</v>
      </c>
      <c r="F10" s="79" t="s">
        <v>238</v>
      </c>
      <c r="G10" s="79" t="s">
        <v>334</v>
      </c>
      <c r="I10" s="74">
        <v>5.0</v>
      </c>
      <c r="J10" s="75" t="s">
        <v>100</v>
      </c>
      <c r="K10" s="78" t="s">
        <v>342</v>
      </c>
      <c r="L10" s="75" t="s">
        <v>344</v>
      </c>
      <c r="M10" s="75" t="s">
        <v>238</v>
      </c>
      <c r="N10" s="75" t="s">
        <v>345</v>
      </c>
      <c r="O10" s="76" t="s">
        <v>386</v>
      </c>
    </row>
    <row r="11" ht="25.5" customHeight="1">
      <c r="A11" s="10">
        <v>6.0</v>
      </c>
      <c r="B11" s="9" t="s">
        <v>82</v>
      </c>
      <c r="C11" s="77" t="s">
        <v>82</v>
      </c>
      <c r="D11" s="77" t="s">
        <v>342</v>
      </c>
      <c r="E11" s="77" t="s">
        <v>344</v>
      </c>
      <c r="F11" s="80" t="s">
        <v>238</v>
      </c>
      <c r="G11" s="80" t="s">
        <v>345</v>
      </c>
      <c r="I11" s="74">
        <v>6.0</v>
      </c>
      <c r="J11" s="75" t="s">
        <v>50</v>
      </c>
      <c r="K11" s="75" t="s">
        <v>342</v>
      </c>
      <c r="L11" s="75" t="s">
        <v>332</v>
      </c>
      <c r="M11" s="75" t="s">
        <v>238</v>
      </c>
      <c r="N11" s="75" t="s">
        <v>345</v>
      </c>
      <c r="O11" s="76" t="s">
        <v>391</v>
      </c>
    </row>
    <row r="12" ht="25.5" customHeight="1">
      <c r="A12" s="10">
        <v>7.0</v>
      </c>
      <c r="B12" s="9" t="s">
        <v>129</v>
      </c>
      <c r="C12" s="72" t="s">
        <v>129</v>
      </c>
      <c r="D12" s="72" t="s">
        <v>331</v>
      </c>
      <c r="E12" s="72" t="s">
        <v>332</v>
      </c>
      <c r="F12" s="79" t="s">
        <v>238</v>
      </c>
      <c r="G12" s="79" t="s">
        <v>334</v>
      </c>
      <c r="I12" s="74">
        <v>7.0</v>
      </c>
      <c r="J12" s="75" t="s">
        <v>61</v>
      </c>
      <c r="K12" s="75" t="s">
        <v>395</v>
      </c>
      <c r="L12" s="75" t="s">
        <v>396</v>
      </c>
      <c r="M12" s="75" t="s">
        <v>238</v>
      </c>
      <c r="N12" s="75" t="s">
        <v>345</v>
      </c>
      <c r="O12" s="76" t="s">
        <v>398</v>
      </c>
    </row>
    <row r="13" ht="25.5" customHeight="1">
      <c r="A13" s="10">
        <v>8.0</v>
      </c>
      <c r="B13" s="9" t="s">
        <v>50</v>
      </c>
      <c r="C13" s="77" t="s">
        <v>50</v>
      </c>
      <c r="D13" s="77" t="s">
        <v>342</v>
      </c>
      <c r="E13" s="80" t="s">
        <v>332</v>
      </c>
      <c r="F13" s="80" t="s">
        <v>238</v>
      </c>
      <c r="G13" s="80" t="s">
        <v>345</v>
      </c>
      <c r="I13" s="74">
        <v>8.0</v>
      </c>
      <c r="J13" s="75" t="s">
        <v>118</v>
      </c>
      <c r="K13" s="75" t="s">
        <v>331</v>
      </c>
      <c r="L13" s="75" t="s">
        <v>332</v>
      </c>
      <c r="M13" s="75" t="s">
        <v>250</v>
      </c>
      <c r="N13" s="75" t="s">
        <v>403</v>
      </c>
      <c r="O13" s="76" t="s">
        <v>404</v>
      </c>
    </row>
    <row r="14" ht="25.5" customHeight="1">
      <c r="A14" s="10">
        <v>9.0</v>
      </c>
      <c r="B14" s="9" t="s">
        <v>124</v>
      </c>
      <c r="C14" s="72" t="s">
        <v>124</v>
      </c>
      <c r="D14" s="79" t="s">
        <v>357</v>
      </c>
      <c r="E14" s="72" t="s">
        <v>359</v>
      </c>
      <c r="F14" s="79" t="s">
        <v>238</v>
      </c>
      <c r="G14" s="79" t="s">
        <v>345</v>
      </c>
      <c r="I14" s="74">
        <v>9.0</v>
      </c>
      <c r="J14" s="75" t="s">
        <v>151</v>
      </c>
      <c r="K14" s="75" t="s">
        <v>342</v>
      </c>
      <c r="L14" s="78" t="s">
        <v>407</v>
      </c>
      <c r="M14" s="75" t="s">
        <v>238</v>
      </c>
      <c r="N14" s="75" t="s">
        <v>345</v>
      </c>
      <c r="O14" s="76" t="s">
        <v>408</v>
      </c>
      <c r="P14" s="85"/>
    </row>
    <row r="15" ht="25.5" customHeight="1">
      <c r="A15" s="10">
        <v>10.0</v>
      </c>
      <c r="B15" s="9" t="s">
        <v>46</v>
      </c>
      <c r="C15" s="77" t="s">
        <v>46</v>
      </c>
      <c r="D15" s="77" t="s">
        <v>366</v>
      </c>
      <c r="E15" s="80" t="s">
        <v>410</v>
      </c>
      <c r="F15" s="80" t="s">
        <v>238</v>
      </c>
      <c r="G15" s="80" t="s">
        <v>345</v>
      </c>
      <c r="I15" s="74">
        <v>10.0</v>
      </c>
      <c r="J15" s="75" t="s">
        <v>46</v>
      </c>
      <c r="K15" s="78" t="s">
        <v>366</v>
      </c>
      <c r="L15" s="78" t="s">
        <v>410</v>
      </c>
      <c r="M15" s="75" t="s">
        <v>238</v>
      </c>
      <c r="N15" s="75" t="s">
        <v>345</v>
      </c>
      <c r="O15" s="76" t="s">
        <v>411</v>
      </c>
    </row>
    <row r="16" ht="25.5" customHeight="1">
      <c r="A16" s="10">
        <v>11.0</v>
      </c>
      <c r="B16" s="9" t="s">
        <v>100</v>
      </c>
      <c r="C16" s="72" t="s">
        <v>100</v>
      </c>
      <c r="D16" s="72" t="s">
        <v>342</v>
      </c>
      <c r="E16" s="72" t="s">
        <v>344</v>
      </c>
      <c r="F16" s="79" t="s">
        <v>238</v>
      </c>
      <c r="G16" s="79" t="s">
        <v>345</v>
      </c>
      <c r="I16" s="74">
        <v>11.0</v>
      </c>
      <c r="J16" s="75" t="s">
        <v>166</v>
      </c>
      <c r="K16" s="75" t="s">
        <v>342</v>
      </c>
      <c r="L16" s="75" t="s">
        <v>344</v>
      </c>
      <c r="M16" s="75" t="s">
        <v>250</v>
      </c>
      <c r="N16" s="75" t="s">
        <v>403</v>
      </c>
      <c r="O16" s="76" t="s">
        <v>412</v>
      </c>
    </row>
    <row r="17" ht="25.5" customHeight="1">
      <c r="A17" s="10">
        <v>12.0</v>
      </c>
      <c r="B17" s="9" t="s">
        <v>91</v>
      </c>
      <c r="C17" s="77" t="s">
        <v>91</v>
      </c>
      <c r="D17" s="77" t="s">
        <v>342</v>
      </c>
      <c r="E17" s="77" t="s">
        <v>359</v>
      </c>
      <c r="F17" s="80" t="s">
        <v>238</v>
      </c>
      <c r="G17" s="80" t="s">
        <v>345</v>
      </c>
      <c r="I17" s="74">
        <v>12.0</v>
      </c>
      <c r="J17" s="75" t="s">
        <v>91</v>
      </c>
      <c r="K17" s="75" t="s">
        <v>342</v>
      </c>
      <c r="L17" s="75" t="s">
        <v>359</v>
      </c>
      <c r="M17" s="75" t="s">
        <v>238</v>
      </c>
      <c r="N17" s="75" t="s">
        <v>345</v>
      </c>
      <c r="O17" s="76" t="s">
        <v>414</v>
      </c>
    </row>
    <row r="18" ht="25.5" customHeight="1">
      <c r="A18" s="10">
        <v>13.0</v>
      </c>
      <c r="B18" s="9" t="s">
        <v>34</v>
      </c>
      <c r="C18" s="72" t="s">
        <v>82</v>
      </c>
      <c r="D18" s="72" t="s">
        <v>342</v>
      </c>
      <c r="E18" s="72" t="s">
        <v>344</v>
      </c>
      <c r="F18" s="72" t="s">
        <v>238</v>
      </c>
      <c r="G18" s="72" t="s">
        <v>345</v>
      </c>
      <c r="I18" s="74">
        <v>13.0</v>
      </c>
      <c r="J18" s="75" t="s">
        <v>174</v>
      </c>
      <c r="K18" s="75" t="s">
        <v>395</v>
      </c>
      <c r="L18" s="75" t="s">
        <v>359</v>
      </c>
      <c r="M18" s="75" t="s">
        <v>250</v>
      </c>
      <c r="N18" s="75" t="s">
        <v>403</v>
      </c>
      <c r="O18" s="76" t="s">
        <v>418</v>
      </c>
    </row>
    <row r="19" ht="25.5" customHeight="1">
      <c r="A19" s="10">
        <v>14.0</v>
      </c>
      <c r="B19" s="9" t="s">
        <v>41</v>
      </c>
      <c r="C19" s="77" t="s">
        <v>100</v>
      </c>
      <c r="D19" s="77" t="s">
        <v>342</v>
      </c>
      <c r="E19" s="77" t="s">
        <v>344</v>
      </c>
      <c r="F19" s="77" t="s">
        <v>238</v>
      </c>
      <c r="G19" s="77" t="s">
        <v>345</v>
      </c>
      <c r="I19" s="74">
        <v>14.0</v>
      </c>
      <c r="J19" s="75" t="s">
        <v>365</v>
      </c>
      <c r="K19" s="78" t="s">
        <v>366</v>
      </c>
      <c r="L19" s="75" t="s">
        <v>368</v>
      </c>
      <c r="M19" s="75" t="s">
        <v>238</v>
      </c>
      <c r="N19" s="75" t="s">
        <v>334</v>
      </c>
      <c r="O19" s="76" t="s">
        <v>419</v>
      </c>
    </row>
    <row r="20" ht="25.5" customHeight="1">
      <c r="A20" s="10">
        <v>15.0</v>
      </c>
      <c r="B20" s="9" t="s">
        <v>55</v>
      </c>
      <c r="C20" s="72" t="s">
        <v>151</v>
      </c>
      <c r="D20" s="72" t="s">
        <v>342</v>
      </c>
      <c r="E20" s="79" t="s">
        <v>407</v>
      </c>
      <c r="F20" s="72" t="s">
        <v>238</v>
      </c>
      <c r="G20" s="72" t="s">
        <v>345</v>
      </c>
      <c r="I20" s="74">
        <v>-1.0</v>
      </c>
      <c r="J20" s="78" t="s">
        <v>387</v>
      </c>
      <c r="K20" s="78" t="s">
        <v>387</v>
      </c>
      <c r="L20" s="78" t="s">
        <v>387</v>
      </c>
      <c r="M20" s="78" t="s">
        <v>387</v>
      </c>
      <c r="N20" s="78" t="s">
        <v>387</v>
      </c>
      <c r="O20" s="88" t="s">
        <v>387</v>
      </c>
    </row>
    <row r="21">
      <c r="A21" s="10">
        <v>16.0</v>
      </c>
      <c r="B21" s="9" t="s">
        <v>61</v>
      </c>
      <c r="C21" s="77" t="s">
        <v>61</v>
      </c>
      <c r="D21" s="77" t="s">
        <v>395</v>
      </c>
      <c r="E21" s="80" t="s">
        <v>396</v>
      </c>
      <c r="F21" s="80" t="s">
        <v>238</v>
      </c>
      <c r="G21" s="80" t="s">
        <v>345</v>
      </c>
    </row>
    <row r="22" ht="15.75" customHeight="1">
      <c r="A22" s="10">
        <v>17.0</v>
      </c>
      <c r="B22" s="9" t="s">
        <v>66</v>
      </c>
      <c r="C22" s="72" t="s">
        <v>124</v>
      </c>
      <c r="D22" s="79" t="s">
        <v>357</v>
      </c>
      <c r="E22" s="72" t="s">
        <v>359</v>
      </c>
      <c r="F22" s="72" t="s">
        <v>238</v>
      </c>
      <c r="G22" s="72" t="s">
        <v>345</v>
      </c>
    </row>
    <row r="23" ht="15.75" customHeight="1">
      <c r="A23" s="10">
        <v>18.0</v>
      </c>
      <c r="B23" s="9" t="s">
        <v>72</v>
      </c>
      <c r="C23" s="77" t="s">
        <v>72</v>
      </c>
      <c r="D23" s="77" t="s">
        <v>331</v>
      </c>
      <c r="E23" s="77" t="s">
        <v>332</v>
      </c>
      <c r="F23" s="80" t="s">
        <v>238</v>
      </c>
      <c r="G23" s="80" t="s">
        <v>345</v>
      </c>
    </row>
    <row r="24" ht="15.75" customHeight="1">
      <c r="A24" s="10">
        <v>19.0</v>
      </c>
      <c r="B24" s="9" t="s">
        <v>112</v>
      </c>
      <c r="C24" s="72" t="s">
        <v>61</v>
      </c>
      <c r="D24" s="72" t="s">
        <v>395</v>
      </c>
      <c r="E24" s="79" t="s">
        <v>396</v>
      </c>
      <c r="F24" s="72" t="s">
        <v>250</v>
      </c>
      <c r="G24" s="72" t="s">
        <v>429</v>
      </c>
    </row>
    <row r="25" ht="15.75" customHeight="1">
      <c r="A25" s="10">
        <v>20.0</v>
      </c>
      <c r="B25" s="9" t="s">
        <v>118</v>
      </c>
      <c r="C25" s="77" t="s">
        <v>118</v>
      </c>
      <c r="D25" s="77" t="s">
        <v>331</v>
      </c>
      <c r="E25" s="77" t="s">
        <v>332</v>
      </c>
      <c r="F25" s="77" t="s">
        <v>250</v>
      </c>
      <c r="G25" s="80" t="s">
        <v>403</v>
      </c>
    </row>
    <row r="26" ht="15.75" customHeight="1">
      <c r="A26" s="10">
        <v>21.0</v>
      </c>
      <c r="B26" s="9" t="s">
        <v>151</v>
      </c>
      <c r="C26" s="72" t="s">
        <v>151</v>
      </c>
      <c r="D26" s="72" t="s">
        <v>342</v>
      </c>
      <c r="E26" s="79" t="s">
        <v>407</v>
      </c>
      <c r="F26" s="79" t="s">
        <v>238</v>
      </c>
      <c r="G26" s="79" t="s">
        <v>345</v>
      </c>
    </row>
    <row r="27" ht="15.75" customHeight="1">
      <c r="A27" s="10">
        <v>22.0</v>
      </c>
      <c r="B27" s="9" t="s">
        <v>166</v>
      </c>
      <c r="C27" s="77" t="s">
        <v>166</v>
      </c>
      <c r="D27" s="77" t="s">
        <v>342</v>
      </c>
      <c r="E27" s="77" t="s">
        <v>344</v>
      </c>
      <c r="F27" s="77" t="s">
        <v>250</v>
      </c>
      <c r="G27" s="80" t="s">
        <v>403</v>
      </c>
    </row>
    <row r="28" ht="15.75" customHeight="1">
      <c r="A28" s="10">
        <v>23.0</v>
      </c>
      <c r="B28" s="9" t="s">
        <v>174</v>
      </c>
      <c r="C28" s="72" t="s">
        <v>174</v>
      </c>
      <c r="D28" s="72" t="s">
        <v>395</v>
      </c>
      <c r="E28" s="72" t="s">
        <v>359</v>
      </c>
      <c r="F28" s="72" t="s">
        <v>250</v>
      </c>
      <c r="G28" s="79" t="s">
        <v>403</v>
      </c>
    </row>
    <row r="29" ht="15.75" customHeight="1"/>
    <row r="30" ht="21.75" customHeight="1">
      <c r="A30" s="5" t="s">
        <v>440</v>
      </c>
      <c r="B30" s="2"/>
      <c r="C30" s="2"/>
      <c r="D30" s="2"/>
      <c r="E30" s="2"/>
      <c r="F30" s="2"/>
      <c r="G30" s="2"/>
      <c r="H30" s="2"/>
      <c r="I30" s="2"/>
      <c r="J30" s="2"/>
      <c r="K30" s="2"/>
      <c r="L30" s="2"/>
      <c r="M30" s="2"/>
      <c r="N30" s="2"/>
      <c r="O30" s="3"/>
    </row>
    <row r="31" ht="30.0" customHeight="1">
      <c r="B31" s="6"/>
      <c r="C31" s="6" t="s">
        <v>445</v>
      </c>
      <c r="D31" s="6" t="s">
        <v>446</v>
      </c>
      <c r="E31" s="6" t="s">
        <v>447</v>
      </c>
      <c r="F31" s="6" t="s">
        <v>449</v>
      </c>
    </row>
    <row r="32" ht="30.0" customHeight="1">
      <c r="C32" s="8" t="s">
        <v>450</v>
      </c>
      <c r="D32" s="23">
        <v>14.0</v>
      </c>
      <c r="E32" s="87">
        <f>SUMPRODUCT((C6:C28&lt;&gt;"")/COUNTIF(C6:C28,C6:C28&amp;""))</f>
        <v>14</v>
      </c>
      <c r="F32" s="10" t="str">
        <f t="shared" ref="F32:F34" si="1">IF(E32=D32,"✔ pass","✘ fix")</f>
        <v>✔ pass</v>
      </c>
      <c r="G32" s="62" t="s">
        <v>464</v>
      </c>
      <c r="H32" s="14"/>
      <c r="I32" s="14"/>
      <c r="J32" s="14"/>
      <c r="K32" s="14"/>
      <c r="L32" s="14"/>
      <c r="M32" s="14"/>
      <c r="N32" s="14"/>
      <c r="O32" s="16"/>
    </row>
    <row r="33" ht="30.0" customHeight="1">
      <c r="C33" s="8" t="s">
        <v>465</v>
      </c>
      <c r="D33" s="23">
        <v>5.0</v>
      </c>
      <c r="E33" s="87">
        <f>COUNTIF(C6:C28,"Karachi")</f>
        <v>5</v>
      </c>
      <c r="F33" s="10" t="str">
        <f t="shared" si="1"/>
        <v>✔ pass</v>
      </c>
      <c r="G33" s="62" t="s">
        <v>466</v>
      </c>
      <c r="H33" s="14"/>
      <c r="I33" s="14"/>
      <c r="J33" s="14"/>
      <c r="K33" s="14"/>
      <c r="L33" s="14"/>
      <c r="M33" s="14"/>
      <c r="N33" s="14"/>
      <c r="O33" s="16"/>
    </row>
    <row r="34" ht="42.0" customHeight="1">
      <c r="C34" s="8" t="s">
        <v>467</v>
      </c>
      <c r="D34" s="23">
        <v>14.0</v>
      </c>
      <c r="E34" s="87">
        <f>COUNTIF(I6:I20,"&gt;0")</f>
        <v>14</v>
      </c>
      <c r="F34" s="10" t="str">
        <f t="shared" si="1"/>
        <v>✔ pass</v>
      </c>
      <c r="G34" s="62" t="s">
        <v>469</v>
      </c>
      <c r="H34" s="14"/>
      <c r="I34" s="14"/>
      <c r="J34" s="14"/>
      <c r="K34" s="14"/>
      <c r="L34" s="14"/>
      <c r="M34" s="14"/>
      <c r="N34" s="14"/>
      <c r="O34" s="16"/>
    </row>
    <row r="35" ht="15.75" customHeight="1"/>
    <row r="36" ht="21.75" customHeight="1">
      <c r="A36" s="5" t="s">
        <v>471</v>
      </c>
      <c r="B36" s="2"/>
      <c r="C36" s="2"/>
      <c r="D36" s="2"/>
      <c r="E36" s="2"/>
      <c r="F36" s="2"/>
      <c r="G36" s="2"/>
      <c r="H36" s="2"/>
      <c r="I36" s="2"/>
      <c r="J36" s="2"/>
      <c r="K36" s="2"/>
      <c r="L36" s="2"/>
      <c r="M36" s="2"/>
      <c r="N36" s="2"/>
      <c r="O36" s="3"/>
    </row>
    <row r="37" ht="30.0" customHeight="1">
      <c r="B37" s="104" t="s">
        <v>472</v>
      </c>
      <c r="C37" s="46"/>
      <c r="D37" s="46"/>
      <c r="E37" s="46"/>
      <c r="F37" s="44"/>
      <c r="G37" s="105" t="s">
        <v>473</v>
      </c>
      <c r="H37" s="46"/>
      <c r="I37" s="46"/>
      <c r="J37" s="46"/>
      <c r="K37" s="46"/>
      <c r="L37" s="46"/>
      <c r="M37" s="46"/>
      <c r="N37" s="46"/>
      <c r="O37" s="44"/>
    </row>
    <row r="38" ht="30.0" customHeight="1">
      <c r="B38" s="50"/>
      <c r="C38" s="51"/>
      <c r="D38" s="51"/>
      <c r="E38" s="51"/>
      <c r="F38" s="52"/>
      <c r="G38" s="50"/>
      <c r="H38" s="51"/>
      <c r="I38" s="51"/>
      <c r="J38" s="51"/>
      <c r="K38" s="51"/>
      <c r="L38" s="51"/>
      <c r="M38" s="51"/>
      <c r="N38" s="51"/>
      <c r="O38" s="52"/>
    </row>
    <row r="39" ht="30.0" customHeight="1">
      <c r="B39" s="106" t="s">
        <v>475</v>
      </c>
      <c r="C39" s="46"/>
      <c r="D39" s="46"/>
      <c r="E39" s="46"/>
      <c r="F39" s="44"/>
      <c r="G39" s="105" t="s">
        <v>477</v>
      </c>
      <c r="H39" s="46"/>
      <c r="I39" s="46"/>
      <c r="J39" s="46"/>
      <c r="K39" s="46"/>
      <c r="L39" s="46"/>
      <c r="M39" s="46"/>
      <c r="N39" s="46"/>
      <c r="O39" s="44"/>
    </row>
    <row r="40" ht="30.0" customHeight="1">
      <c r="B40" s="50"/>
      <c r="C40" s="51"/>
      <c r="D40" s="51"/>
      <c r="E40" s="51"/>
      <c r="F40" s="52"/>
      <c r="G40" s="50"/>
      <c r="H40" s="51"/>
      <c r="I40" s="51"/>
      <c r="J40" s="51"/>
      <c r="K40" s="51"/>
      <c r="L40" s="51"/>
      <c r="M40" s="51"/>
      <c r="N40" s="51"/>
      <c r="O40" s="52"/>
    </row>
    <row r="41" ht="30.0" customHeight="1">
      <c r="B41" s="106" t="s">
        <v>478</v>
      </c>
      <c r="C41" s="46"/>
      <c r="D41" s="46"/>
      <c r="E41" s="46"/>
      <c r="F41" s="44"/>
      <c r="G41" s="105" t="s">
        <v>483</v>
      </c>
      <c r="H41" s="46"/>
      <c r="I41" s="46"/>
      <c r="J41" s="46"/>
      <c r="K41" s="46"/>
      <c r="L41" s="46"/>
      <c r="M41" s="46"/>
      <c r="N41" s="46"/>
      <c r="O41" s="44"/>
    </row>
    <row r="42" ht="177.75" customHeight="1">
      <c r="B42" s="50"/>
      <c r="C42" s="51"/>
      <c r="D42" s="51"/>
      <c r="E42" s="51"/>
      <c r="F42" s="52"/>
      <c r="G42" s="50"/>
      <c r="H42" s="51"/>
      <c r="I42" s="51"/>
      <c r="J42" s="51"/>
      <c r="K42" s="51"/>
      <c r="L42" s="51"/>
      <c r="M42" s="51"/>
      <c r="N42" s="51"/>
      <c r="O42" s="52"/>
    </row>
    <row r="43" ht="15.75" customHeight="1"/>
    <row r="44" ht="25.5" customHeight="1">
      <c r="A44" s="27" t="s">
        <v>485</v>
      </c>
      <c r="B44" s="2"/>
      <c r="C44" s="2"/>
      <c r="D44" s="2"/>
      <c r="E44" s="2"/>
      <c r="F44" s="2"/>
      <c r="G44" s="2"/>
      <c r="H44" s="2"/>
      <c r="I44" s="2"/>
      <c r="J44" s="2"/>
      <c r="K44" s="2"/>
      <c r="L44" s="2"/>
      <c r="M44" s="2"/>
      <c r="N44" s="2"/>
      <c r="O44" s="3"/>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6:O36"/>
    <mergeCell ref="B37:F38"/>
    <mergeCell ref="G37:O38"/>
    <mergeCell ref="B39:F40"/>
    <mergeCell ref="G39:O40"/>
    <mergeCell ref="B41:F42"/>
    <mergeCell ref="G41:O42"/>
    <mergeCell ref="A44:O44"/>
    <mergeCell ref="A1:O1"/>
    <mergeCell ref="A2:O2"/>
    <mergeCell ref="A4:O4"/>
    <mergeCell ref="A30:O30"/>
    <mergeCell ref="G32:O32"/>
    <mergeCell ref="G33:O33"/>
    <mergeCell ref="G34:O34"/>
  </mergeCells>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A8C"/>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1.0"/>
    <col customWidth="1" min="3" max="3" width="13.0"/>
    <col customWidth="1" min="4" max="4" width="22.43"/>
    <col customWidth="1" min="5" max="5" width="26.0"/>
    <col customWidth="1" min="6" max="6" width="25.71"/>
    <col customWidth="1" min="7" max="7" width="17.0"/>
    <col customWidth="1" min="8" max="8" width="3.0"/>
    <col customWidth="1" min="9" max="9" width="26.0"/>
    <col customWidth="1" min="10" max="10" width="3.0"/>
    <col customWidth="1" min="11" max="11" width="11.57"/>
    <col customWidth="1" min="12" max="12" width="12.0"/>
    <col customWidth="1" min="13" max="13" width="24.0"/>
    <col customWidth="1" min="14" max="14" width="18.0"/>
    <col customWidth="1" min="15" max="15" width="20.0"/>
    <col customWidth="1" min="16" max="16" width="13.0"/>
    <col customWidth="1" min="17" max="26" width="8.71"/>
  </cols>
  <sheetData>
    <row r="1" ht="30.0" customHeight="1">
      <c r="A1" s="1" t="s">
        <v>245</v>
      </c>
      <c r="B1" s="2"/>
      <c r="C1" s="2"/>
      <c r="D1" s="2"/>
      <c r="E1" s="2"/>
      <c r="F1" s="2"/>
      <c r="G1" s="2"/>
      <c r="H1" s="2"/>
      <c r="I1" s="2"/>
      <c r="J1" s="2"/>
      <c r="K1" s="2"/>
      <c r="L1" s="2"/>
      <c r="M1" s="2"/>
      <c r="N1" s="2"/>
      <c r="O1" s="2"/>
      <c r="P1" s="3"/>
    </row>
    <row r="2" ht="30.0" customHeight="1">
      <c r="A2" s="4" t="s">
        <v>256</v>
      </c>
      <c r="B2" s="2"/>
      <c r="C2" s="2"/>
      <c r="D2" s="2"/>
      <c r="E2" s="2"/>
      <c r="F2" s="2"/>
      <c r="G2" s="2"/>
      <c r="H2" s="2"/>
      <c r="I2" s="2"/>
      <c r="J2" s="2"/>
      <c r="K2" s="2"/>
      <c r="L2" s="2"/>
      <c r="M2" s="2"/>
      <c r="N2" s="2"/>
      <c r="O2" s="2"/>
      <c r="P2" s="3"/>
    </row>
    <row r="4" ht="21.75" customHeight="1">
      <c r="A4" s="5" t="s">
        <v>267</v>
      </c>
      <c r="B4" s="2"/>
      <c r="C4" s="2"/>
      <c r="D4" s="2"/>
      <c r="E4" s="2"/>
      <c r="F4" s="2"/>
      <c r="G4" s="2"/>
      <c r="H4" s="2"/>
      <c r="I4" s="2"/>
      <c r="J4" s="2"/>
      <c r="K4" s="2"/>
      <c r="L4" s="2"/>
      <c r="M4" s="2"/>
      <c r="N4" s="2"/>
      <c r="O4" s="2"/>
      <c r="P4" s="3"/>
    </row>
    <row r="5" ht="21.75" customHeight="1">
      <c r="A5" s="60" t="s">
        <v>274</v>
      </c>
      <c r="B5" s="46"/>
      <c r="C5" s="46"/>
      <c r="D5" s="46"/>
      <c r="E5" s="46"/>
      <c r="F5" s="46"/>
      <c r="G5" s="46"/>
      <c r="H5" s="46"/>
      <c r="I5" s="46"/>
      <c r="J5" s="46"/>
      <c r="K5" s="46"/>
      <c r="L5" s="46"/>
      <c r="M5" s="46"/>
      <c r="N5" s="46"/>
      <c r="O5" s="46"/>
      <c r="P5" s="44"/>
    </row>
    <row r="6" ht="21.75" customHeight="1">
      <c r="A6" s="50"/>
      <c r="B6" s="51"/>
      <c r="C6" s="51"/>
      <c r="D6" s="51"/>
      <c r="E6" s="51"/>
      <c r="F6" s="51"/>
      <c r="G6" s="51"/>
      <c r="H6" s="51"/>
      <c r="I6" s="51"/>
      <c r="J6" s="51"/>
      <c r="K6" s="51"/>
      <c r="L6" s="51"/>
      <c r="M6" s="51"/>
      <c r="N6" s="51"/>
      <c r="O6" s="51"/>
      <c r="P6" s="52"/>
    </row>
    <row r="7" ht="25.5" customHeight="1">
      <c r="B7" s="8" t="s">
        <v>276</v>
      </c>
      <c r="C7" s="49" t="s">
        <v>278</v>
      </c>
      <c r="D7" s="46"/>
      <c r="E7" s="46"/>
      <c r="F7" s="46"/>
      <c r="G7" s="44"/>
    </row>
    <row r="8" ht="132.0" customHeight="1">
      <c r="C8" s="50"/>
      <c r="D8" s="51"/>
      <c r="E8" s="51"/>
      <c r="F8" s="51"/>
      <c r="G8" s="52"/>
    </row>
    <row r="9" ht="30.0" customHeight="1">
      <c r="A9" s="6" t="s">
        <v>11</v>
      </c>
      <c r="B9" s="6" t="s">
        <v>280</v>
      </c>
      <c r="C9" s="6" t="s">
        <v>281</v>
      </c>
      <c r="D9" s="6" t="s">
        <v>282</v>
      </c>
      <c r="E9" s="6" t="s">
        <v>285</v>
      </c>
      <c r="F9" s="6" t="s">
        <v>286</v>
      </c>
      <c r="G9" s="6" t="s">
        <v>287</v>
      </c>
      <c r="I9" s="6" t="s">
        <v>288</v>
      </c>
    </row>
    <row r="10">
      <c r="A10" s="10">
        <v>1.0</v>
      </c>
      <c r="B10" s="63">
        <v>1.0</v>
      </c>
      <c r="C10" s="64">
        <v>1.0</v>
      </c>
      <c r="D10" s="64">
        <v>2.0</v>
      </c>
      <c r="E10" s="65" t="s">
        <v>292</v>
      </c>
      <c r="F10" s="65" t="s">
        <v>293</v>
      </c>
      <c r="G10" s="65" t="s">
        <v>294</v>
      </c>
      <c r="I10" s="66" t="s">
        <v>295</v>
      </c>
    </row>
    <row r="11">
      <c r="A11" s="10">
        <v>2.0</v>
      </c>
      <c r="B11" s="63">
        <v>2.0</v>
      </c>
      <c r="C11" s="67">
        <v>3.0</v>
      </c>
      <c r="D11" s="67">
        <v>1.0</v>
      </c>
      <c r="E11" s="68" t="s">
        <v>300</v>
      </c>
      <c r="F11" s="68" t="s">
        <v>303</v>
      </c>
      <c r="G11" s="68" t="s">
        <v>304</v>
      </c>
      <c r="I11" s="66" t="s">
        <v>306</v>
      </c>
    </row>
    <row r="12">
      <c r="A12" s="10">
        <v>3.0</v>
      </c>
      <c r="B12" s="63">
        <v>3.0</v>
      </c>
      <c r="C12" s="64">
        <v>6.0</v>
      </c>
      <c r="D12" s="64">
        <v>1.0</v>
      </c>
      <c r="E12" s="65" t="s">
        <v>310</v>
      </c>
      <c r="F12" s="65" t="s">
        <v>293</v>
      </c>
      <c r="G12" s="65" t="s">
        <v>294</v>
      </c>
      <c r="I12" s="66" t="s">
        <v>312</v>
      </c>
    </row>
    <row r="13">
      <c r="A13" s="10">
        <v>4.0</v>
      </c>
      <c r="B13" s="63">
        <v>4.0</v>
      </c>
      <c r="C13" s="67">
        <v>1.0</v>
      </c>
      <c r="D13" s="67">
        <v>5.0</v>
      </c>
      <c r="E13" s="68" t="s">
        <v>313</v>
      </c>
      <c r="F13" s="68" t="s">
        <v>293</v>
      </c>
      <c r="G13" s="68" t="s">
        <v>314</v>
      </c>
      <c r="I13" s="66" t="s">
        <v>315</v>
      </c>
    </row>
    <row r="14">
      <c r="A14" s="10">
        <v>5.0</v>
      </c>
      <c r="B14" s="63">
        <v>5.0</v>
      </c>
      <c r="C14" s="64">
        <v>3.0</v>
      </c>
      <c r="D14" s="64">
        <v>5.0</v>
      </c>
      <c r="E14" s="65" t="s">
        <v>317</v>
      </c>
      <c r="F14" s="65" t="s">
        <v>303</v>
      </c>
      <c r="G14" s="65" t="s">
        <v>319</v>
      </c>
      <c r="I14" s="66" t="s">
        <v>320</v>
      </c>
    </row>
    <row r="15">
      <c r="A15" s="10">
        <v>6.0</v>
      </c>
      <c r="B15" s="63">
        <v>6.0</v>
      </c>
      <c r="C15" s="67">
        <v>1.0</v>
      </c>
      <c r="D15" s="67">
        <v>9.0</v>
      </c>
      <c r="E15" s="68" t="s">
        <v>323</v>
      </c>
      <c r="F15" s="68" t="s">
        <v>293</v>
      </c>
      <c r="G15" s="68" t="s">
        <v>314</v>
      </c>
      <c r="I15" s="66" t="s">
        <v>324</v>
      </c>
    </row>
    <row r="16">
      <c r="A16" s="10">
        <v>7.0</v>
      </c>
      <c r="B16" s="63">
        <v>7.0</v>
      </c>
      <c r="C16" s="64">
        <v>3.0</v>
      </c>
      <c r="D16" s="64">
        <v>9.0</v>
      </c>
      <c r="E16" s="65" t="s">
        <v>325</v>
      </c>
      <c r="F16" s="65" t="s">
        <v>303</v>
      </c>
      <c r="G16" s="65" t="s">
        <v>304</v>
      </c>
      <c r="I16" s="66" t="s">
        <v>327</v>
      </c>
    </row>
    <row r="17">
      <c r="A17" s="10">
        <v>8.0</v>
      </c>
      <c r="B17" s="63">
        <v>8.0</v>
      </c>
      <c r="C17" s="67">
        <v>10.0</v>
      </c>
      <c r="D17" s="67">
        <v>3.0</v>
      </c>
      <c r="E17" s="68" t="s">
        <v>329</v>
      </c>
      <c r="F17" s="68" t="s">
        <v>330</v>
      </c>
      <c r="G17" s="68" t="s">
        <v>319</v>
      </c>
      <c r="I17" s="66" t="s">
        <v>333</v>
      </c>
    </row>
    <row r="18">
      <c r="A18" s="10">
        <v>9.0</v>
      </c>
      <c r="B18" s="63">
        <v>9.0</v>
      </c>
      <c r="C18" s="64">
        <v>1.0</v>
      </c>
      <c r="D18" s="64">
        <v>11.0</v>
      </c>
      <c r="E18" s="65" t="s">
        <v>336</v>
      </c>
      <c r="F18" s="65" t="s">
        <v>293</v>
      </c>
      <c r="G18" s="65" t="s">
        <v>314</v>
      </c>
      <c r="I18" s="66" t="s">
        <v>337</v>
      </c>
    </row>
    <row r="19">
      <c r="A19" s="10">
        <v>10.0</v>
      </c>
      <c r="B19" s="63">
        <v>10.0</v>
      </c>
      <c r="C19" s="67">
        <v>3.0</v>
      </c>
      <c r="D19" s="67">
        <v>4.0</v>
      </c>
      <c r="E19" s="68" t="s">
        <v>338</v>
      </c>
      <c r="F19" s="68" t="s">
        <v>339</v>
      </c>
      <c r="G19" s="68" t="s">
        <v>314</v>
      </c>
      <c r="I19" s="66" t="s">
        <v>340</v>
      </c>
    </row>
    <row r="20">
      <c r="A20" s="10">
        <v>11.0</v>
      </c>
      <c r="B20" s="63">
        <v>11.0</v>
      </c>
      <c r="C20" s="64">
        <v>3.0</v>
      </c>
      <c r="D20" s="64">
        <v>8.0</v>
      </c>
      <c r="E20" s="65" t="s">
        <v>343</v>
      </c>
      <c r="F20" s="65" t="s">
        <v>303</v>
      </c>
      <c r="G20" s="65" t="s">
        <v>319</v>
      </c>
      <c r="I20" s="66" t="s">
        <v>346</v>
      </c>
    </row>
    <row r="21" ht="15.75" customHeight="1">
      <c r="A21" s="10">
        <v>12.0</v>
      </c>
      <c r="B21" s="63">
        <v>12.0</v>
      </c>
      <c r="C21" s="67">
        <v>3.0</v>
      </c>
      <c r="D21" s="67">
        <v>6.0</v>
      </c>
      <c r="E21" s="68" t="s">
        <v>348</v>
      </c>
      <c r="F21" s="68" t="s">
        <v>303</v>
      </c>
      <c r="G21" s="68" t="s">
        <v>319</v>
      </c>
      <c r="I21" s="66" t="s">
        <v>351</v>
      </c>
    </row>
    <row r="22" ht="15.75" customHeight="1">
      <c r="A22" s="10">
        <v>13.0</v>
      </c>
      <c r="B22" s="63">
        <v>13.0</v>
      </c>
      <c r="C22" s="64">
        <v>5.0</v>
      </c>
      <c r="D22" s="64">
        <v>6.0</v>
      </c>
      <c r="E22" s="65" t="s">
        <v>352</v>
      </c>
      <c r="F22" s="65" t="s">
        <v>293</v>
      </c>
      <c r="G22" s="65" t="s">
        <v>314</v>
      </c>
      <c r="I22" s="66" t="s">
        <v>353</v>
      </c>
    </row>
    <row r="23" ht="15.75" customHeight="1">
      <c r="A23" s="10">
        <v>14.0</v>
      </c>
      <c r="B23" s="63">
        <v>14.0</v>
      </c>
      <c r="C23" s="67">
        <v>2.0</v>
      </c>
      <c r="D23" s="67">
        <v>7.0</v>
      </c>
      <c r="E23" s="68" t="s">
        <v>355</v>
      </c>
      <c r="F23" s="68" t="s">
        <v>356</v>
      </c>
      <c r="G23" s="68" t="s">
        <v>314</v>
      </c>
      <c r="I23" s="66" t="s">
        <v>358</v>
      </c>
    </row>
    <row r="24" ht="15.75" customHeight="1">
      <c r="A24" s="10">
        <v>15.0</v>
      </c>
      <c r="B24" s="63">
        <v>15.0</v>
      </c>
      <c r="C24" s="64">
        <v>14.0</v>
      </c>
      <c r="D24" s="64">
        <v>10.0</v>
      </c>
      <c r="E24" s="65" t="s">
        <v>360</v>
      </c>
      <c r="F24" s="65" t="s">
        <v>362</v>
      </c>
      <c r="G24" s="65" t="s">
        <v>319</v>
      </c>
      <c r="I24" s="66" t="s">
        <v>363</v>
      </c>
    </row>
    <row r="25" ht="15.75" customHeight="1">
      <c r="A25" s="10">
        <v>16.0</v>
      </c>
      <c r="B25" s="63">
        <v>16.0</v>
      </c>
      <c r="C25" s="67">
        <v>12.0</v>
      </c>
      <c r="D25" s="67">
        <v>13.0</v>
      </c>
      <c r="E25" s="68" t="s">
        <v>369</v>
      </c>
      <c r="F25" s="68" t="s">
        <v>356</v>
      </c>
      <c r="G25" s="68" t="s">
        <v>314</v>
      </c>
      <c r="I25" s="66" t="s">
        <v>372</v>
      </c>
    </row>
    <row r="26" ht="15.75" customHeight="1">
      <c r="A26" s="10">
        <v>17.0</v>
      </c>
      <c r="B26" s="63">
        <v>17.0</v>
      </c>
      <c r="C26" s="64">
        <v>3.0</v>
      </c>
      <c r="D26" s="64">
        <v>7.0</v>
      </c>
      <c r="E26" s="65" t="s">
        <v>374</v>
      </c>
      <c r="F26" s="65" t="s">
        <v>303</v>
      </c>
      <c r="G26" s="65" t="s">
        <v>304</v>
      </c>
      <c r="I26" s="66" t="s">
        <v>375</v>
      </c>
    </row>
    <row r="27" ht="15.75" customHeight="1">
      <c r="A27" s="10">
        <v>18.0</v>
      </c>
      <c r="B27" s="63">
        <v>18.0</v>
      </c>
      <c r="C27" s="67">
        <v>14.0</v>
      </c>
      <c r="D27" s="67">
        <v>3.0</v>
      </c>
      <c r="E27" s="68" t="s">
        <v>376</v>
      </c>
      <c r="F27" s="68" t="s">
        <v>377</v>
      </c>
      <c r="G27" s="68" t="s">
        <v>319</v>
      </c>
      <c r="I27" s="66" t="s">
        <v>379</v>
      </c>
    </row>
    <row r="28" ht="15.75" customHeight="1">
      <c r="A28" s="10">
        <v>19.0</v>
      </c>
      <c r="B28" s="63">
        <v>19.0</v>
      </c>
      <c r="C28" s="64">
        <v>3.0</v>
      </c>
      <c r="D28" s="64">
        <v>2.0</v>
      </c>
      <c r="E28" s="65" t="s">
        <v>381</v>
      </c>
      <c r="F28" s="65" t="s">
        <v>303</v>
      </c>
      <c r="G28" s="65" t="s">
        <v>304</v>
      </c>
      <c r="I28" s="66" t="s">
        <v>382</v>
      </c>
    </row>
    <row r="29" ht="15.75" customHeight="1">
      <c r="A29" s="10">
        <v>20.0</v>
      </c>
      <c r="B29" s="63">
        <v>20.0</v>
      </c>
      <c r="C29" s="67">
        <v>3.0</v>
      </c>
      <c r="D29" s="67">
        <v>12.0</v>
      </c>
      <c r="E29" s="68" t="s">
        <v>383</v>
      </c>
      <c r="F29" s="68" t="s">
        <v>303</v>
      </c>
      <c r="G29" s="68" t="s">
        <v>304</v>
      </c>
      <c r="I29" s="66" t="s">
        <v>384</v>
      </c>
    </row>
    <row r="30" ht="15.75" customHeight="1">
      <c r="A30" s="10"/>
      <c r="B30" s="63">
        <v>-1.0</v>
      </c>
      <c r="C30" s="64" t="s">
        <v>387</v>
      </c>
      <c r="D30" s="64" t="s">
        <v>387</v>
      </c>
      <c r="E30" s="65" t="s">
        <v>387</v>
      </c>
      <c r="F30" s="65" t="s">
        <v>387</v>
      </c>
      <c r="G30" s="65" t="s">
        <v>387</v>
      </c>
      <c r="I30" s="66" t="s">
        <v>388</v>
      </c>
    </row>
    <row r="31" ht="15.75" customHeight="1">
      <c r="I31" s="66" t="s">
        <v>389</v>
      </c>
    </row>
    <row r="32" ht="15.75" customHeight="1">
      <c r="I32" s="66" t="s">
        <v>390</v>
      </c>
    </row>
    <row r="33" ht="15.75" customHeight="1">
      <c r="I33" s="66" t="s">
        <v>392</v>
      </c>
    </row>
    <row r="34" ht="15.75" customHeight="1">
      <c r="I34" s="66" t="s">
        <v>393</v>
      </c>
    </row>
    <row r="35" ht="15.75" customHeight="1">
      <c r="I35" s="66" t="s">
        <v>394</v>
      </c>
    </row>
    <row r="36" ht="15.75" customHeight="1">
      <c r="I36" s="66" t="s">
        <v>397</v>
      </c>
    </row>
    <row r="37" ht="15.75" customHeight="1">
      <c r="I37" s="66" t="s">
        <v>399</v>
      </c>
    </row>
    <row r="38" ht="15.75" customHeight="1">
      <c r="I38" s="66" t="s">
        <v>400</v>
      </c>
    </row>
    <row r="39" ht="15.75" customHeight="1">
      <c r="I39" s="66" t="s">
        <v>402</v>
      </c>
    </row>
    <row r="40" ht="15.75" customHeight="1">
      <c r="I40" s="82" t="s">
        <v>405</v>
      </c>
    </row>
    <row r="41" ht="15.75" customHeight="1">
      <c r="B41" s="84" t="s">
        <v>406</v>
      </c>
      <c r="C41" s="14"/>
      <c r="D41" s="16"/>
      <c r="E41" s="87">
        <f>SUMPRODUCT((E10:E30&lt;&gt;"")/COUNTIF(E10:E30,E10:E30&amp;""))</f>
        <v>21</v>
      </c>
      <c r="F41" s="23">
        <v>21.0</v>
      </c>
      <c r="G41" s="10" t="str">
        <f>IF(E41=F41,"✔ pass","✘ fix")</f>
        <v>✔ pass</v>
      </c>
      <c r="I41" s="62" t="s">
        <v>421</v>
      </c>
      <c r="J41" s="14"/>
      <c r="K41" s="14"/>
      <c r="L41" s="14"/>
      <c r="M41" s="14"/>
      <c r="N41" s="14"/>
      <c r="O41" s="14"/>
      <c r="P41" s="16"/>
    </row>
    <row r="42" ht="15.75" customHeight="1"/>
    <row r="43" ht="21.75" customHeight="1">
      <c r="A43" s="5" t="s">
        <v>424</v>
      </c>
      <c r="B43" s="2"/>
      <c r="C43" s="2"/>
      <c r="D43" s="2"/>
      <c r="E43" s="2"/>
      <c r="F43" s="2"/>
      <c r="G43" s="2"/>
      <c r="H43" s="2"/>
      <c r="I43" s="2"/>
      <c r="J43" s="2"/>
      <c r="K43" s="2"/>
      <c r="L43" s="2"/>
      <c r="M43" s="2"/>
      <c r="N43" s="2"/>
      <c r="O43" s="2"/>
      <c r="P43" s="3"/>
    </row>
    <row r="44" ht="30.0" customHeight="1">
      <c r="A44" s="6"/>
      <c r="B44" s="6" t="s">
        <v>416</v>
      </c>
      <c r="C44" s="6" t="s">
        <v>423</v>
      </c>
      <c r="D44" s="6" t="s">
        <v>425</v>
      </c>
      <c r="E44" s="6" t="s">
        <v>426</v>
      </c>
      <c r="F44" s="6" t="s">
        <v>427</v>
      </c>
      <c r="G44" s="6" t="s">
        <v>428</v>
      </c>
      <c r="K44" s="6" t="s">
        <v>417</v>
      </c>
      <c r="L44" s="6" t="s">
        <v>430</v>
      </c>
      <c r="M44" s="6" t="s">
        <v>431</v>
      </c>
      <c r="N44" s="6" t="s">
        <v>432</v>
      </c>
      <c r="O44" s="6" t="s">
        <v>433</v>
      </c>
    </row>
    <row r="45" ht="24.0" customHeight="1">
      <c r="B45" s="63">
        <v>1.0</v>
      </c>
      <c r="C45" s="91" t="s">
        <v>38</v>
      </c>
      <c r="D45" s="65" t="s">
        <v>434</v>
      </c>
      <c r="E45" s="65" t="s">
        <v>435</v>
      </c>
      <c r="F45" s="65" t="s">
        <v>436</v>
      </c>
      <c r="G45" s="65" t="s">
        <v>238</v>
      </c>
      <c r="K45" s="63">
        <v>1.0</v>
      </c>
      <c r="L45" s="65" t="s">
        <v>36</v>
      </c>
      <c r="M45" s="65" t="s">
        <v>238</v>
      </c>
      <c r="N45" s="65" t="s">
        <v>250</v>
      </c>
      <c r="O45" s="65" t="s">
        <v>250</v>
      </c>
    </row>
    <row r="46" ht="24.0" customHeight="1">
      <c r="B46" s="63">
        <v>2.0</v>
      </c>
      <c r="C46" s="68" t="s">
        <v>85</v>
      </c>
      <c r="D46" s="68" t="s">
        <v>437</v>
      </c>
      <c r="E46" s="68" t="s">
        <v>438</v>
      </c>
      <c r="F46" s="68" t="s">
        <v>439</v>
      </c>
      <c r="G46" s="68" t="s">
        <v>441</v>
      </c>
      <c r="K46" s="63">
        <v>2.0</v>
      </c>
      <c r="L46" s="68" t="s">
        <v>43</v>
      </c>
      <c r="M46" s="68" t="s">
        <v>250</v>
      </c>
      <c r="N46" s="68" t="s">
        <v>250</v>
      </c>
      <c r="O46" s="68" t="s">
        <v>250</v>
      </c>
    </row>
    <row r="47" ht="24.0" customHeight="1">
      <c r="B47" s="63">
        <v>3.0</v>
      </c>
      <c r="C47" s="65" t="s">
        <v>127</v>
      </c>
      <c r="D47" s="65" t="s">
        <v>442</v>
      </c>
      <c r="E47" s="65" t="s">
        <v>443</v>
      </c>
      <c r="F47" s="65" t="s">
        <v>444</v>
      </c>
      <c r="G47" s="65" t="s">
        <v>250</v>
      </c>
      <c r="K47" s="63">
        <v>3.0</v>
      </c>
      <c r="L47" s="65" t="s">
        <v>56</v>
      </c>
      <c r="M47" s="65" t="s">
        <v>250</v>
      </c>
      <c r="N47" s="65" t="s">
        <v>238</v>
      </c>
      <c r="O47" s="65" t="s">
        <v>238</v>
      </c>
    </row>
    <row r="48" ht="24.0" customHeight="1">
      <c r="B48" s="63">
        <v>-1.0</v>
      </c>
      <c r="C48" s="68" t="s">
        <v>387</v>
      </c>
      <c r="D48" s="68" t="s">
        <v>387</v>
      </c>
      <c r="E48" s="68" t="s">
        <v>387</v>
      </c>
      <c r="F48" s="68" t="s">
        <v>387</v>
      </c>
      <c r="G48" s="68" t="s">
        <v>387</v>
      </c>
      <c r="K48" s="63">
        <v>-1.0</v>
      </c>
      <c r="L48" s="68" t="s">
        <v>387</v>
      </c>
      <c r="M48" s="68" t="s">
        <v>250</v>
      </c>
      <c r="N48" s="68" t="s">
        <v>238</v>
      </c>
      <c r="O48" s="68" t="s">
        <v>238</v>
      </c>
    </row>
    <row r="49" ht="30.0" customHeight="1">
      <c r="B49" s="38" t="s">
        <v>448</v>
      </c>
      <c r="C49" s="14"/>
      <c r="D49" s="14"/>
      <c r="E49" s="14"/>
      <c r="F49" s="14"/>
      <c r="G49" s="14"/>
      <c r="H49" s="14"/>
      <c r="I49" s="14"/>
      <c r="J49" s="14"/>
      <c r="K49" s="14"/>
      <c r="L49" s="14"/>
      <c r="M49" s="14"/>
      <c r="N49" s="14"/>
      <c r="O49" s="14"/>
      <c r="P49" s="16"/>
    </row>
    <row r="50" ht="15.75" customHeight="1"/>
    <row r="51" ht="21.75" customHeight="1">
      <c r="A51" s="5" t="s">
        <v>451</v>
      </c>
      <c r="B51" s="2"/>
      <c r="C51" s="2"/>
      <c r="D51" s="2"/>
      <c r="E51" s="2"/>
      <c r="F51" s="2"/>
      <c r="G51" s="2"/>
      <c r="H51" s="2"/>
      <c r="I51" s="2"/>
      <c r="J51" s="2"/>
      <c r="K51" s="2"/>
      <c r="L51" s="2"/>
      <c r="M51" s="2"/>
      <c r="N51" s="2"/>
      <c r="O51" s="2"/>
      <c r="P51" s="3"/>
    </row>
    <row r="52" ht="30.0" customHeight="1">
      <c r="A52" s="6"/>
      <c r="B52" s="6" t="s">
        <v>415</v>
      </c>
      <c r="C52" s="6" t="s">
        <v>452</v>
      </c>
      <c r="D52" s="6" t="s">
        <v>453</v>
      </c>
      <c r="E52" s="69" t="s">
        <v>454</v>
      </c>
      <c r="F52" s="69" t="s">
        <v>455</v>
      </c>
      <c r="G52" s="69" t="s">
        <v>456</v>
      </c>
      <c r="H52" s="69"/>
      <c r="I52" s="95" t="s">
        <v>457</v>
      </c>
      <c r="J52" s="69"/>
      <c r="K52" s="69" t="s">
        <v>458</v>
      </c>
      <c r="L52" s="69" t="s">
        <v>459</v>
      </c>
      <c r="M52" s="69" t="s">
        <v>460</v>
      </c>
      <c r="N52" s="69" t="s">
        <v>461</v>
      </c>
      <c r="O52" s="6" t="s">
        <v>462</v>
      </c>
      <c r="P52" s="6" t="s">
        <v>463</v>
      </c>
    </row>
    <row r="53" ht="15.75" customHeight="1">
      <c r="B53" s="97">
        <f t="shared" ref="B53:B80" si="1">YEAR(C53)*10000+MONTH(C53)*100+DAY(C53)</f>
        <v>20260201</v>
      </c>
      <c r="C53" s="98">
        <v>46054.0</v>
      </c>
      <c r="D53" s="99">
        <v>2026.0</v>
      </c>
      <c r="E53" s="89">
        <v>1.0</v>
      </c>
      <c r="F53" s="100">
        <v>2.0</v>
      </c>
      <c r="G53" s="89" t="s">
        <v>468</v>
      </c>
      <c r="H53" s="101"/>
      <c r="I53" s="90">
        <v>0.0</v>
      </c>
      <c r="J53" s="101"/>
      <c r="K53" s="90">
        <v>1.0</v>
      </c>
      <c r="L53" s="90" t="s">
        <v>470</v>
      </c>
      <c r="M53" s="90" t="s">
        <v>238</v>
      </c>
      <c r="N53" s="90" t="s">
        <v>250</v>
      </c>
      <c r="O53" s="103">
        <f>COUNTIF(Shipments_Unified!$B$5:$B$38,C53)</f>
        <v>1</v>
      </c>
      <c r="P53" s="87" t="str">
        <f t="shared" ref="P53:P80" si="2">IF(O53&gt;0,"yes","— quiet day")</f>
        <v>yes</v>
      </c>
    </row>
    <row r="54" ht="15.75" customHeight="1">
      <c r="B54" s="97">
        <f t="shared" si="1"/>
        <v>20260202</v>
      </c>
      <c r="C54" s="98">
        <v>46055.0</v>
      </c>
      <c r="D54" s="99">
        <v>2026.0</v>
      </c>
      <c r="E54" s="89">
        <v>1.0</v>
      </c>
      <c r="F54" s="100">
        <v>2.0</v>
      </c>
      <c r="G54" s="89" t="s">
        <v>468</v>
      </c>
      <c r="H54" s="101"/>
      <c r="I54" s="90">
        <v>1.0</v>
      </c>
      <c r="J54" s="101"/>
      <c r="K54" s="90">
        <v>2.0</v>
      </c>
      <c r="L54" s="90" t="s">
        <v>474</v>
      </c>
      <c r="M54" s="90" t="s">
        <v>250</v>
      </c>
      <c r="N54" s="90" t="s">
        <v>250</v>
      </c>
      <c r="O54" s="103">
        <f>COUNTIF(Shipments_Unified!$B$5:$B$38,C54)</f>
        <v>3</v>
      </c>
      <c r="P54" s="87" t="str">
        <f t="shared" si="2"/>
        <v>yes</v>
      </c>
    </row>
    <row r="55" ht="15.75" customHeight="1">
      <c r="B55" s="97">
        <f t="shared" si="1"/>
        <v>20260203</v>
      </c>
      <c r="C55" s="98">
        <v>46056.0</v>
      </c>
      <c r="D55" s="99">
        <v>2026.0</v>
      </c>
      <c r="E55" s="89">
        <v>1.0</v>
      </c>
      <c r="F55" s="100">
        <v>2.0</v>
      </c>
      <c r="G55" s="89" t="s">
        <v>468</v>
      </c>
      <c r="H55" s="101"/>
      <c r="I55" s="90">
        <v>2.0</v>
      </c>
      <c r="J55" s="101"/>
      <c r="K55" s="90">
        <v>3.0</v>
      </c>
      <c r="L55" s="90" t="s">
        <v>476</v>
      </c>
      <c r="M55" s="90" t="s">
        <v>250</v>
      </c>
      <c r="N55" s="90" t="s">
        <v>250</v>
      </c>
      <c r="O55" s="103">
        <f>COUNTIF(Shipments_Unified!$B$5:$B$38,C55)</f>
        <v>4</v>
      </c>
      <c r="P55" s="87" t="str">
        <f t="shared" si="2"/>
        <v>yes</v>
      </c>
    </row>
    <row r="56" ht="15.75" customHeight="1">
      <c r="B56" s="97">
        <f t="shared" si="1"/>
        <v>20260204</v>
      </c>
      <c r="C56" s="98">
        <v>46057.0</v>
      </c>
      <c r="D56" s="99">
        <v>2026.0</v>
      </c>
      <c r="E56" s="89">
        <v>1.0</v>
      </c>
      <c r="F56" s="100">
        <v>2.0</v>
      </c>
      <c r="G56" s="89" t="s">
        <v>468</v>
      </c>
      <c r="H56" s="101"/>
      <c r="I56" s="90">
        <v>3.0</v>
      </c>
      <c r="J56" s="101"/>
      <c r="K56" s="90">
        <v>4.0</v>
      </c>
      <c r="L56" s="90" t="s">
        <v>479</v>
      </c>
      <c r="M56" s="90" t="s">
        <v>250</v>
      </c>
      <c r="N56" s="90" t="s">
        <v>250</v>
      </c>
      <c r="O56" s="103">
        <f>COUNTIF(Shipments_Unified!$B$5:$B$38,C56)</f>
        <v>3</v>
      </c>
      <c r="P56" s="87" t="str">
        <f t="shared" si="2"/>
        <v>yes</v>
      </c>
    </row>
    <row r="57" ht="15.75" customHeight="1">
      <c r="B57" s="97">
        <f t="shared" si="1"/>
        <v>20260205</v>
      </c>
      <c r="C57" s="98">
        <v>46058.0</v>
      </c>
      <c r="D57" s="99">
        <v>2026.0</v>
      </c>
      <c r="E57" s="89">
        <v>1.0</v>
      </c>
      <c r="F57" s="100">
        <v>2.0</v>
      </c>
      <c r="G57" s="89" t="s">
        <v>468</v>
      </c>
      <c r="H57" s="101"/>
      <c r="I57" s="90">
        <v>4.0</v>
      </c>
      <c r="J57" s="101"/>
      <c r="K57" s="90">
        <v>5.0</v>
      </c>
      <c r="L57" s="90" t="s">
        <v>482</v>
      </c>
      <c r="M57" s="90" t="s">
        <v>250</v>
      </c>
      <c r="N57" s="90" t="s">
        <v>238</v>
      </c>
      <c r="O57" s="103">
        <f>COUNTIF(Shipments_Unified!$B$5:$B$38,C57)</f>
        <v>3</v>
      </c>
      <c r="P57" s="87" t="str">
        <f t="shared" si="2"/>
        <v>yes</v>
      </c>
    </row>
    <row r="58" ht="15.75" customHeight="1">
      <c r="B58" s="97">
        <f t="shared" si="1"/>
        <v>20260206</v>
      </c>
      <c r="C58" s="98">
        <v>46059.0</v>
      </c>
      <c r="D58" s="99">
        <v>2026.0</v>
      </c>
      <c r="E58" s="89">
        <v>1.0</v>
      </c>
      <c r="F58" s="100">
        <v>2.0</v>
      </c>
      <c r="G58" s="89" t="s">
        <v>468</v>
      </c>
      <c r="H58" s="101"/>
      <c r="I58" s="90">
        <v>5.0</v>
      </c>
      <c r="J58" s="101"/>
      <c r="K58" s="90">
        <v>6.0</v>
      </c>
      <c r="L58" s="90" t="s">
        <v>484</v>
      </c>
      <c r="M58" s="90" t="s">
        <v>250</v>
      </c>
      <c r="N58" s="90" t="s">
        <v>250</v>
      </c>
      <c r="O58" s="103">
        <f>COUNTIF(Shipments_Unified!$B$5:$B$38,C58)</f>
        <v>3</v>
      </c>
      <c r="P58" s="87" t="str">
        <f t="shared" si="2"/>
        <v>yes</v>
      </c>
    </row>
    <row r="59" ht="15.75" customHeight="1">
      <c r="B59" s="97">
        <f t="shared" si="1"/>
        <v>20260207</v>
      </c>
      <c r="C59" s="98">
        <v>46060.0</v>
      </c>
      <c r="D59" s="99">
        <v>2026.0</v>
      </c>
      <c r="E59" s="89">
        <v>1.0</v>
      </c>
      <c r="F59" s="100">
        <v>2.0</v>
      </c>
      <c r="G59" s="89" t="s">
        <v>468</v>
      </c>
      <c r="H59" s="101"/>
      <c r="I59" s="90">
        <v>6.0</v>
      </c>
      <c r="J59" s="101"/>
      <c r="K59" s="90">
        <v>7.0</v>
      </c>
      <c r="L59" s="90" t="s">
        <v>488</v>
      </c>
      <c r="M59" s="90" t="s">
        <v>238</v>
      </c>
      <c r="N59" s="90" t="s">
        <v>250</v>
      </c>
      <c r="O59" s="103">
        <f>COUNTIF(Shipments_Unified!$B$5:$B$38,C59)</f>
        <v>3</v>
      </c>
      <c r="P59" s="87" t="str">
        <f t="shared" si="2"/>
        <v>yes</v>
      </c>
    </row>
    <row r="60" ht="15.75" customHeight="1">
      <c r="B60" s="97">
        <f t="shared" si="1"/>
        <v>20260208</v>
      </c>
      <c r="C60" s="98">
        <v>46061.0</v>
      </c>
      <c r="D60" s="99">
        <v>2026.0</v>
      </c>
      <c r="E60" s="89">
        <v>1.0</v>
      </c>
      <c r="F60" s="100">
        <v>2.0</v>
      </c>
      <c r="G60" s="89" t="s">
        <v>468</v>
      </c>
      <c r="H60" s="101"/>
      <c r="I60" s="90">
        <v>0.0</v>
      </c>
      <c r="J60" s="101"/>
      <c r="K60" s="90">
        <v>8.0</v>
      </c>
      <c r="L60" s="90" t="s">
        <v>470</v>
      </c>
      <c r="M60" s="90" t="s">
        <v>238</v>
      </c>
      <c r="N60" s="90" t="s">
        <v>250</v>
      </c>
      <c r="O60" s="103">
        <f>COUNTIF(Shipments_Unified!$B$5:$B$38,C60)</f>
        <v>0</v>
      </c>
      <c r="P60" s="87" t="str">
        <f t="shared" si="2"/>
        <v>— quiet day</v>
      </c>
    </row>
    <row r="61" ht="15.75" customHeight="1">
      <c r="B61" s="97">
        <f t="shared" si="1"/>
        <v>20260209</v>
      </c>
      <c r="C61" s="98">
        <v>46062.0</v>
      </c>
      <c r="D61" s="99">
        <v>2026.0</v>
      </c>
      <c r="E61" s="89">
        <v>1.0</v>
      </c>
      <c r="F61" s="100">
        <v>2.0</v>
      </c>
      <c r="G61" s="89" t="s">
        <v>468</v>
      </c>
      <c r="H61" s="101"/>
      <c r="I61" s="90">
        <v>1.0</v>
      </c>
      <c r="J61" s="101"/>
      <c r="K61" s="90">
        <v>9.0</v>
      </c>
      <c r="L61" s="90" t="s">
        <v>474</v>
      </c>
      <c r="M61" s="90" t="s">
        <v>250</v>
      </c>
      <c r="N61" s="90" t="s">
        <v>250</v>
      </c>
      <c r="O61" s="103">
        <f>COUNTIF(Shipments_Unified!$B$5:$B$38,C61)</f>
        <v>3</v>
      </c>
      <c r="P61" s="87" t="str">
        <f t="shared" si="2"/>
        <v>yes</v>
      </c>
    </row>
    <row r="62" ht="15.75" customHeight="1">
      <c r="B62" s="97">
        <f t="shared" si="1"/>
        <v>20260210</v>
      </c>
      <c r="C62" s="98">
        <v>46063.0</v>
      </c>
      <c r="D62" s="99">
        <v>2026.0</v>
      </c>
      <c r="E62" s="89">
        <v>1.0</v>
      </c>
      <c r="F62" s="100">
        <v>2.0</v>
      </c>
      <c r="G62" s="89" t="s">
        <v>468</v>
      </c>
      <c r="H62" s="101"/>
      <c r="I62" s="90">
        <v>2.0</v>
      </c>
      <c r="J62" s="101"/>
      <c r="K62" s="90">
        <v>10.0</v>
      </c>
      <c r="L62" s="90" t="s">
        <v>476</v>
      </c>
      <c r="M62" s="90" t="s">
        <v>250</v>
      </c>
      <c r="N62" s="90" t="s">
        <v>250</v>
      </c>
      <c r="O62" s="103">
        <f>COUNTIF(Shipments_Unified!$B$5:$B$38,C62)</f>
        <v>3</v>
      </c>
      <c r="P62" s="87" t="str">
        <f t="shared" si="2"/>
        <v>yes</v>
      </c>
    </row>
    <row r="63" ht="15.75" customHeight="1">
      <c r="B63" s="97">
        <f t="shared" si="1"/>
        <v>20260211</v>
      </c>
      <c r="C63" s="98">
        <v>46064.0</v>
      </c>
      <c r="D63" s="99">
        <v>2026.0</v>
      </c>
      <c r="E63" s="89">
        <v>1.0</v>
      </c>
      <c r="F63" s="100">
        <v>2.0</v>
      </c>
      <c r="G63" s="89" t="s">
        <v>468</v>
      </c>
      <c r="H63" s="101"/>
      <c r="I63" s="90">
        <v>3.0</v>
      </c>
      <c r="J63" s="101"/>
      <c r="K63" s="90">
        <v>11.0</v>
      </c>
      <c r="L63" s="90" t="s">
        <v>479</v>
      </c>
      <c r="M63" s="90" t="s">
        <v>250</v>
      </c>
      <c r="N63" s="90" t="s">
        <v>250</v>
      </c>
      <c r="O63" s="103">
        <f>COUNTIF(Shipments_Unified!$B$5:$B$38,C63)</f>
        <v>3</v>
      </c>
      <c r="P63" s="87" t="str">
        <f t="shared" si="2"/>
        <v>yes</v>
      </c>
    </row>
    <row r="64" ht="15.75" customHeight="1">
      <c r="B64" s="97">
        <f t="shared" si="1"/>
        <v>20260212</v>
      </c>
      <c r="C64" s="98">
        <v>46065.0</v>
      </c>
      <c r="D64" s="99">
        <v>2026.0</v>
      </c>
      <c r="E64" s="89">
        <v>1.0</v>
      </c>
      <c r="F64" s="100">
        <v>2.0</v>
      </c>
      <c r="G64" s="89" t="s">
        <v>468</v>
      </c>
      <c r="H64" s="101"/>
      <c r="I64" s="90">
        <v>4.0</v>
      </c>
      <c r="J64" s="101"/>
      <c r="K64" s="90">
        <v>12.0</v>
      </c>
      <c r="L64" s="90" t="s">
        <v>482</v>
      </c>
      <c r="M64" s="90" t="s">
        <v>250</v>
      </c>
      <c r="N64" s="90" t="s">
        <v>250</v>
      </c>
      <c r="O64" s="103">
        <f>COUNTIF(Shipments_Unified!$B$5:$B$38,C64)</f>
        <v>3</v>
      </c>
      <c r="P64" s="87" t="str">
        <f t="shared" si="2"/>
        <v>yes</v>
      </c>
    </row>
    <row r="65" ht="15.75" customHeight="1">
      <c r="B65" s="97">
        <f t="shared" si="1"/>
        <v>20260213</v>
      </c>
      <c r="C65" s="98">
        <v>46066.0</v>
      </c>
      <c r="D65" s="99">
        <v>2026.0</v>
      </c>
      <c r="E65" s="89">
        <v>1.0</v>
      </c>
      <c r="F65" s="100">
        <v>2.0</v>
      </c>
      <c r="G65" s="89" t="s">
        <v>468</v>
      </c>
      <c r="H65" s="101"/>
      <c r="I65" s="90">
        <v>5.0</v>
      </c>
      <c r="J65" s="101"/>
      <c r="K65" s="90">
        <v>13.0</v>
      </c>
      <c r="L65" s="90" t="s">
        <v>484</v>
      </c>
      <c r="M65" s="90" t="s">
        <v>250</v>
      </c>
      <c r="N65" s="90" t="s">
        <v>250</v>
      </c>
      <c r="O65" s="103">
        <f>COUNTIF(Shipments_Unified!$B$5:$B$38,C65)</f>
        <v>2</v>
      </c>
      <c r="P65" s="87" t="str">
        <f t="shared" si="2"/>
        <v>yes</v>
      </c>
    </row>
    <row r="66" ht="15.75" customHeight="1">
      <c r="B66" s="97">
        <f t="shared" si="1"/>
        <v>20260214</v>
      </c>
      <c r="C66" s="98">
        <v>46067.0</v>
      </c>
      <c r="D66" s="99">
        <v>2026.0</v>
      </c>
      <c r="E66" s="89">
        <v>1.0</v>
      </c>
      <c r="F66" s="100">
        <v>2.0</v>
      </c>
      <c r="G66" s="89" t="s">
        <v>468</v>
      </c>
      <c r="H66" s="101"/>
      <c r="I66" s="90">
        <v>6.0</v>
      </c>
      <c r="J66" s="101"/>
      <c r="K66" s="90">
        <v>14.0</v>
      </c>
      <c r="L66" s="90" t="s">
        <v>488</v>
      </c>
      <c r="M66" s="90" t="s">
        <v>238</v>
      </c>
      <c r="N66" s="90" t="s">
        <v>250</v>
      </c>
      <c r="O66" s="103">
        <f>COUNTIF(Shipments_Unified!$B$5:$B$38,C66)</f>
        <v>0</v>
      </c>
      <c r="P66" s="87" t="str">
        <f t="shared" si="2"/>
        <v>— quiet day</v>
      </c>
    </row>
    <row r="67" ht="15.75" customHeight="1">
      <c r="B67" s="97">
        <f t="shared" si="1"/>
        <v>20260215</v>
      </c>
      <c r="C67" s="98">
        <v>46068.0</v>
      </c>
      <c r="D67" s="99">
        <v>2026.0</v>
      </c>
      <c r="E67" s="89">
        <v>1.0</v>
      </c>
      <c r="F67" s="100">
        <v>2.0</v>
      </c>
      <c r="G67" s="89" t="s">
        <v>468</v>
      </c>
      <c r="H67" s="101"/>
      <c r="I67" s="90">
        <v>0.0</v>
      </c>
      <c r="J67" s="101"/>
      <c r="K67" s="90">
        <v>15.0</v>
      </c>
      <c r="L67" s="90" t="s">
        <v>470</v>
      </c>
      <c r="M67" s="90" t="s">
        <v>238</v>
      </c>
      <c r="N67" s="90" t="s">
        <v>250</v>
      </c>
      <c r="O67" s="103">
        <f>COUNTIF(Shipments_Unified!$B$5:$B$38,C67)</f>
        <v>0</v>
      </c>
      <c r="P67" s="87" t="str">
        <f t="shared" si="2"/>
        <v>— quiet day</v>
      </c>
    </row>
    <row r="68" ht="15.75" customHeight="1">
      <c r="B68" s="97">
        <f t="shared" si="1"/>
        <v>20260216</v>
      </c>
      <c r="C68" s="98">
        <v>46069.0</v>
      </c>
      <c r="D68" s="99">
        <v>2026.0</v>
      </c>
      <c r="E68" s="89">
        <v>1.0</v>
      </c>
      <c r="F68" s="100">
        <v>2.0</v>
      </c>
      <c r="G68" s="89" t="s">
        <v>468</v>
      </c>
      <c r="H68" s="101"/>
      <c r="I68" s="90">
        <v>1.0</v>
      </c>
      <c r="J68" s="101"/>
      <c r="K68" s="90">
        <v>16.0</v>
      </c>
      <c r="L68" s="90" t="s">
        <v>474</v>
      </c>
      <c r="M68" s="90" t="s">
        <v>250</v>
      </c>
      <c r="N68" s="90" t="s">
        <v>250</v>
      </c>
      <c r="O68" s="103">
        <f>COUNTIF(Shipments_Unified!$B$5:$B$38,C68)</f>
        <v>0</v>
      </c>
      <c r="P68" s="87" t="str">
        <f t="shared" si="2"/>
        <v>— quiet day</v>
      </c>
    </row>
    <row r="69" ht="15.75" customHeight="1">
      <c r="B69" s="97">
        <f t="shared" si="1"/>
        <v>20260217</v>
      </c>
      <c r="C69" s="98">
        <v>46070.0</v>
      </c>
      <c r="D69" s="99">
        <v>2026.0</v>
      </c>
      <c r="E69" s="89">
        <v>1.0</v>
      </c>
      <c r="F69" s="100">
        <v>2.0</v>
      </c>
      <c r="G69" s="89" t="s">
        <v>468</v>
      </c>
      <c r="H69" s="101"/>
      <c r="I69" s="90">
        <v>2.0</v>
      </c>
      <c r="J69" s="101"/>
      <c r="K69" s="90">
        <v>17.0</v>
      </c>
      <c r="L69" s="90" t="s">
        <v>476</v>
      </c>
      <c r="M69" s="90" t="s">
        <v>250</v>
      </c>
      <c r="N69" s="90" t="s">
        <v>250</v>
      </c>
      <c r="O69" s="103">
        <f>COUNTIF(Shipments_Unified!$B$5:$B$38,C69)</f>
        <v>0</v>
      </c>
      <c r="P69" s="87" t="str">
        <f t="shared" si="2"/>
        <v>— quiet day</v>
      </c>
    </row>
    <row r="70" ht="15.75" customHeight="1">
      <c r="B70" s="97">
        <f t="shared" si="1"/>
        <v>20260218</v>
      </c>
      <c r="C70" s="98">
        <v>46071.0</v>
      </c>
      <c r="D70" s="99">
        <v>2026.0</v>
      </c>
      <c r="E70" s="89">
        <v>1.0</v>
      </c>
      <c r="F70" s="100">
        <v>2.0</v>
      </c>
      <c r="G70" s="89" t="s">
        <v>468</v>
      </c>
      <c r="H70" s="101"/>
      <c r="I70" s="90">
        <v>3.0</v>
      </c>
      <c r="J70" s="101"/>
      <c r="K70" s="90">
        <v>18.0</v>
      </c>
      <c r="L70" s="90" t="s">
        <v>479</v>
      </c>
      <c r="M70" s="90" t="s">
        <v>250</v>
      </c>
      <c r="N70" s="90" t="s">
        <v>250</v>
      </c>
      <c r="O70" s="103">
        <f>COUNTIF(Shipments_Unified!$B$5:$B$38,C70)</f>
        <v>0</v>
      </c>
      <c r="P70" s="87" t="str">
        <f t="shared" si="2"/>
        <v>— quiet day</v>
      </c>
    </row>
    <row r="71" ht="15.75" customHeight="1">
      <c r="B71" s="97">
        <f t="shared" si="1"/>
        <v>20260219</v>
      </c>
      <c r="C71" s="98">
        <v>46072.0</v>
      </c>
      <c r="D71" s="99">
        <v>2026.0</v>
      </c>
      <c r="E71" s="89">
        <v>1.0</v>
      </c>
      <c r="F71" s="100">
        <v>2.0</v>
      </c>
      <c r="G71" s="89" t="s">
        <v>468</v>
      </c>
      <c r="H71" s="101"/>
      <c r="I71" s="90">
        <v>4.0</v>
      </c>
      <c r="J71" s="101"/>
      <c r="K71" s="90">
        <v>19.0</v>
      </c>
      <c r="L71" s="90" t="s">
        <v>482</v>
      </c>
      <c r="M71" s="90" t="s">
        <v>250</v>
      </c>
      <c r="N71" s="90" t="s">
        <v>250</v>
      </c>
      <c r="O71" s="103">
        <f>COUNTIF(Shipments_Unified!$B$5:$B$38,C71)</f>
        <v>0</v>
      </c>
      <c r="P71" s="87" t="str">
        <f t="shared" si="2"/>
        <v>— quiet day</v>
      </c>
    </row>
    <row r="72" ht="15.75" customHeight="1">
      <c r="B72" s="97">
        <f t="shared" si="1"/>
        <v>20260220</v>
      </c>
      <c r="C72" s="98">
        <v>46073.0</v>
      </c>
      <c r="D72" s="99">
        <v>2026.0</v>
      </c>
      <c r="E72" s="89">
        <v>1.0</v>
      </c>
      <c r="F72" s="100">
        <v>2.0</v>
      </c>
      <c r="G72" s="89" t="s">
        <v>468</v>
      </c>
      <c r="H72" s="101"/>
      <c r="I72" s="90">
        <v>5.0</v>
      </c>
      <c r="J72" s="101"/>
      <c r="K72" s="90">
        <v>20.0</v>
      </c>
      <c r="L72" s="90" t="s">
        <v>484</v>
      </c>
      <c r="M72" s="90" t="s">
        <v>250</v>
      </c>
      <c r="N72" s="90" t="s">
        <v>250</v>
      </c>
      <c r="O72" s="103">
        <f>COUNTIF(Shipments_Unified!$B$5:$B$38,C72)</f>
        <v>0</v>
      </c>
      <c r="P72" s="87" t="str">
        <f t="shared" si="2"/>
        <v>— quiet day</v>
      </c>
    </row>
    <row r="73" ht="15.75" customHeight="1">
      <c r="B73" s="97">
        <f t="shared" si="1"/>
        <v>20260221</v>
      </c>
      <c r="C73" s="98">
        <v>46074.0</v>
      </c>
      <c r="D73" s="99">
        <v>2026.0</v>
      </c>
      <c r="E73" s="89">
        <v>1.0</v>
      </c>
      <c r="F73" s="100">
        <v>2.0</v>
      </c>
      <c r="G73" s="89" t="s">
        <v>468</v>
      </c>
      <c r="H73" s="101"/>
      <c r="I73" s="90">
        <v>6.0</v>
      </c>
      <c r="J73" s="101"/>
      <c r="K73" s="90">
        <v>21.0</v>
      </c>
      <c r="L73" s="90" t="s">
        <v>488</v>
      </c>
      <c r="M73" s="90" t="s">
        <v>238</v>
      </c>
      <c r="N73" s="90" t="s">
        <v>250</v>
      </c>
      <c r="O73" s="103">
        <f>COUNTIF(Shipments_Unified!$B$5:$B$38,C73)</f>
        <v>0</v>
      </c>
      <c r="P73" s="87" t="str">
        <f t="shared" si="2"/>
        <v>— quiet day</v>
      </c>
    </row>
    <row r="74" ht="15.75" customHeight="1">
      <c r="B74" s="97">
        <f t="shared" si="1"/>
        <v>20260222</v>
      </c>
      <c r="C74" s="98">
        <v>46075.0</v>
      </c>
      <c r="D74" s="99">
        <v>2026.0</v>
      </c>
      <c r="E74" s="89">
        <v>1.0</v>
      </c>
      <c r="F74" s="100">
        <v>2.0</v>
      </c>
      <c r="G74" s="89" t="s">
        <v>468</v>
      </c>
      <c r="H74" s="101"/>
      <c r="I74" s="90">
        <v>0.0</v>
      </c>
      <c r="J74" s="101"/>
      <c r="K74" s="90">
        <v>22.0</v>
      </c>
      <c r="L74" s="90" t="s">
        <v>470</v>
      </c>
      <c r="M74" s="90" t="s">
        <v>238</v>
      </c>
      <c r="N74" s="90" t="s">
        <v>250</v>
      </c>
      <c r="O74" s="103">
        <f>COUNTIF(Shipments_Unified!$B$5:$B$38,C74)</f>
        <v>0</v>
      </c>
      <c r="P74" s="87" t="str">
        <f t="shared" si="2"/>
        <v>— quiet day</v>
      </c>
    </row>
    <row r="75" ht="15.75" customHeight="1">
      <c r="B75" s="97">
        <f t="shared" si="1"/>
        <v>20260223</v>
      </c>
      <c r="C75" s="98">
        <v>46076.0</v>
      </c>
      <c r="D75" s="99">
        <v>2026.0</v>
      </c>
      <c r="E75" s="89">
        <v>1.0</v>
      </c>
      <c r="F75" s="100">
        <v>2.0</v>
      </c>
      <c r="G75" s="89" t="s">
        <v>468</v>
      </c>
      <c r="H75" s="101"/>
      <c r="I75" s="90">
        <v>1.0</v>
      </c>
      <c r="J75" s="101"/>
      <c r="K75" s="90">
        <v>23.0</v>
      </c>
      <c r="L75" s="90" t="s">
        <v>474</v>
      </c>
      <c r="M75" s="90" t="s">
        <v>250</v>
      </c>
      <c r="N75" s="90" t="s">
        <v>250</v>
      </c>
      <c r="O75" s="103">
        <f>COUNTIF(Shipments_Unified!$B$5:$B$38,C75)</f>
        <v>0</v>
      </c>
      <c r="P75" s="87" t="str">
        <f t="shared" si="2"/>
        <v>— quiet day</v>
      </c>
    </row>
    <row r="76" ht="15.75" customHeight="1">
      <c r="B76" s="97">
        <f t="shared" si="1"/>
        <v>20260224</v>
      </c>
      <c r="C76" s="98">
        <v>46077.0</v>
      </c>
      <c r="D76" s="99">
        <v>2026.0</v>
      </c>
      <c r="E76" s="89">
        <v>1.0</v>
      </c>
      <c r="F76" s="100">
        <v>2.0</v>
      </c>
      <c r="G76" s="89" t="s">
        <v>468</v>
      </c>
      <c r="H76" s="101"/>
      <c r="I76" s="90">
        <v>2.0</v>
      </c>
      <c r="J76" s="101"/>
      <c r="K76" s="90">
        <v>24.0</v>
      </c>
      <c r="L76" s="90" t="s">
        <v>476</v>
      </c>
      <c r="M76" s="90" t="s">
        <v>250</v>
      </c>
      <c r="N76" s="90" t="s">
        <v>250</v>
      </c>
      <c r="O76" s="103">
        <f>COUNTIF(Shipments_Unified!$B$5:$B$38,C76)</f>
        <v>0</v>
      </c>
      <c r="P76" s="87" t="str">
        <f t="shared" si="2"/>
        <v>— quiet day</v>
      </c>
    </row>
    <row r="77" ht="15.75" customHeight="1">
      <c r="B77" s="97">
        <f t="shared" si="1"/>
        <v>20260225</v>
      </c>
      <c r="C77" s="98">
        <v>46078.0</v>
      </c>
      <c r="D77" s="99">
        <v>2026.0</v>
      </c>
      <c r="E77" s="89">
        <v>1.0</v>
      </c>
      <c r="F77" s="100">
        <v>2.0</v>
      </c>
      <c r="G77" s="89" t="s">
        <v>468</v>
      </c>
      <c r="H77" s="101"/>
      <c r="I77" s="90">
        <v>3.0</v>
      </c>
      <c r="J77" s="101"/>
      <c r="K77" s="90">
        <v>25.0</v>
      </c>
      <c r="L77" s="90" t="s">
        <v>479</v>
      </c>
      <c r="M77" s="90" t="s">
        <v>250</v>
      </c>
      <c r="N77" s="90" t="s">
        <v>250</v>
      </c>
      <c r="O77" s="103">
        <f>COUNTIF(Shipments_Unified!$B$5:$B$38,C77)</f>
        <v>0</v>
      </c>
      <c r="P77" s="87" t="str">
        <f t="shared" si="2"/>
        <v>— quiet day</v>
      </c>
    </row>
    <row r="78" ht="15.75" customHeight="1">
      <c r="B78" s="97">
        <f t="shared" si="1"/>
        <v>20260226</v>
      </c>
      <c r="C78" s="98">
        <v>46079.0</v>
      </c>
      <c r="D78" s="99">
        <v>2026.0</v>
      </c>
      <c r="E78" s="89">
        <v>1.0</v>
      </c>
      <c r="F78" s="100">
        <v>2.0</v>
      </c>
      <c r="G78" s="89" t="s">
        <v>468</v>
      </c>
      <c r="H78" s="101"/>
      <c r="I78" s="90">
        <v>4.0</v>
      </c>
      <c r="J78" s="101"/>
      <c r="K78" s="90">
        <v>26.0</v>
      </c>
      <c r="L78" s="90" t="s">
        <v>482</v>
      </c>
      <c r="M78" s="90" t="s">
        <v>250</v>
      </c>
      <c r="N78" s="90" t="s">
        <v>250</v>
      </c>
      <c r="O78" s="103">
        <f>COUNTIF(Shipments_Unified!$B$5:$B$38,C78)</f>
        <v>0</v>
      </c>
      <c r="P78" s="87" t="str">
        <f t="shared" si="2"/>
        <v>— quiet day</v>
      </c>
    </row>
    <row r="79" ht="15.75" customHeight="1">
      <c r="B79" s="97">
        <f t="shared" si="1"/>
        <v>20260227</v>
      </c>
      <c r="C79" s="98">
        <v>46080.0</v>
      </c>
      <c r="D79" s="99">
        <v>2026.0</v>
      </c>
      <c r="E79" s="89">
        <v>1.0</v>
      </c>
      <c r="F79" s="100">
        <v>2.0</v>
      </c>
      <c r="G79" s="89" t="s">
        <v>468</v>
      </c>
      <c r="H79" s="101"/>
      <c r="I79" s="90">
        <v>5.0</v>
      </c>
      <c r="J79" s="101"/>
      <c r="K79" s="90">
        <v>27.0</v>
      </c>
      <c r="L79" s="90" t="s">
        <v>484</v>
      </c>
      <c r="M79" s="90" t="s">
        <v>250</v>
      </c>
      <c r="N79" s="90" t="s">
        <v>250</v>
      </c>
      <c r="O79" s="103">
        <f>COUNTIF(Shipments_Unified!$B$5:$B$38,C79)</f>
        <v>0</v>
      </c>
      <c r="P79" s="87" t="str">
        <f t="shared" si="2"/>
        <v>— quiet day</v>
      </c>
    </row>
    <row r="80" ht="15.75" customHeight="1">
      <c r="B80" s="97">
        <f t="shared" si="1"/>
        <v>20260228</v>
      </c>
      <c r="C80" s="98">
        <v>46081.0</v>
      </c>
      <c r="D80" s="99">
        <v>2026.0</v>
      </c>
      <c r="E80" s="89">
        <v>1.0</v>
      </c>
      <c r="F80" s="100">
        <v>2.0</v>
      </c>
      <c r="G80" s="89" t="s">
        <v>468</v>
      </c>
      <c r="H80" s="101"/>
      <c r="I80" s="90">
        <v>6.0</v>
      </c>
      <c r="J80" s="101"/>
      <c r="K80" s="90">
        <v>28.0</v>
      </c>
      <c r="L80" s="90" t="s">
        <v>488</v>
      </c>
      <c r="M80" s="90" t="s">
        <v>238</v>
      </c>
      <c r="N80" s="90" t="s">
        <v>250</v>
      </c>
      <c r="O80" s="103">
        <f>COUNTIF(Shipments_Unified!$B$5:$B$38,C80)</f>
        <v>0</v>
      </c>
      <c r="P80" s="87" t="str">
        <f t="shared" si="2"/>
        <v>— quiet day</v>
      </c>
    </row>
    <row r="81" ht="15.75" customHeight="1">
      <c r="C81" s="22" t="s">
        <v>502</v>
      </c>
      <c r="D81" s="23">
        <f>COUNTA(C53:C80)</f>
        <v>28</v>
      </c>
      <c r="F81" s="113" t="s">
        <v>516</v>
      </c>
      <c r="I81" s="114">
        <f>COUNTIF(O53:O80,"&gt;0")</f>
        <v>12</v>
      </c>
      <c r="K81" s="115" t="s">
        <v>521</v>
      </c>
      <c r="L81" s="52"/>
      <c r="M81" s="114">
        <f>COUNTIF(O53:O80,0)</f>
        <v>16</v>
      </c>
    </row>
    <row r="82" ht="25.5" customHeight="1">
      <c r="A82" s="27" t="s">
        <v>522</v>
      </c>
      <c r="B82" s="2"/>
      <c r="C82" s="2"/>
      <c r="D82" s="2"/>
      <c r="E82" s="2"/>
      <c r="F82" s="2"/>
      <c r="G82" s="2"/>
      <c r="H82" s="2"/>
      <c r="I82" s="2"/>
      <c r="J82" s="2"/>
      <c r="K82" s="2"/>
      <c r="L82" s="2"/>
      <c r="M82" s="2"/>
      <c r="N82" s="2"/>
      <c r="O82" s="2"/>
      <c r="P82" s="3"/>
    </row>
    <row r="83" ht="15.75" customHeight="1"/>
    <row r="84" ht="21.75" customHeight="1">
      <c r="A84" s="5" t="s">
        <v>335</v>
      </c>
      <c r="B84" s="2"/>
      <c r="C84" s="2"/>
      <c r="D84" s="2"/>
      <c r="E84" s="2"/>
      <c r="F84" s="2"/>
      <c r="G84" s="2"/>
      <c r="H84" s="2"/>
      <c r="I84" s="2"/>
      <c r="J84" s="2"/>
      <c r="K84" s="2"/>
      <c r="L84" s="2"/>
      <c r="M84" s="2"/>
      <c r="N84" s="2"/>
      <c r="O84" s="2"/>
      <c r="P84" s="3"/>
    </row>
    <row r="85" ht="25.5" customHeight="1">
      <c r="B85" s="116" t="s">
        <v>523</v>
      </c>
      <c r="C85" s="46"/>
      <c r="D85" s="46"/>
      <c r="E85" s="46"/>
      <c r="F85" s="46"/>
      <c r="G85" s="44"/>
      <c r="I85" s="105" t="s">
        <v>524</v>
      </c>
      <c r="J85" s="46"/>
      <c r="K85" s="46"/>
      <c r="L85" s="46"/>
      <c r="M85" s="46"/>
      <c r="N85" s="46"/>
      <c r="O85" s="46"/>
      <c r="P85" s="44"/>
    </row>
    <row r="86" ht="38.25" customHeight="1">
      <c r="B86" s="50"/>
      <c r="C86" s="51"/>
      <c r="D86" s="51"/>
      <c r="E86" s="51"/>
      <c r="F86" s="51"/>
      <c r="G86" s="52"/>
      <c r="I86" s="50"/>
      <c r="J86" s="51"/>
      <c r="K86" s="51"/>
      <c r="L86" s="51"/>
      <c r="M86" s="51"/>
      <c r="N86" s="51"/>
      <c r="O86" s="51"/>
      <c r="P86" s="52"/>
    </row>
    <row r="87" ht="25.5" customHeight="1">
      <c r="B87" s="116" t="s">
        <v>525</v>
      </c>
      <c r="C87" s="46"/>
      <c r="D87" s="46"/>
      <c r="E87" s="46"/>
      <c r="F87" s="46"/>
      <c r="G87" s="44"/>
      <c r="I87" s="105" t="s">
        <v>526</v>
      </c>
      <c r="J87" s="46"/>
      <c r="K87" s="46"/>
      <c r="L87" s="46"/>
      <c r="M87" s="46"/>
      <c r="N87" s="46"/>
      <c r="O87" s="46"/>
      <c r="P87" s="44"/>
    </row>
    <row r="88" ht="52.5" customHeight="1">
      <c r="B88" s="50"/>
      <c r="C88" s="51"/>
      <c r="D88" s="51"/>
      <c r="E88" s="51"/>
      <c r="F88" s="51"/>
      <c r="G88" s="52"/>
      <c r="I88" s="50"/>
      <c r="J88" s="51"/>
      <c r="K88" s="51"/>
      <c r="L88" s="51"/>
      <c r="M88" s="51"/>
      <c r="N88" s="51"/>
      <c r="O88" s="51"/>
      <c r="P88" s="52"/>
    </row>
    <row r="89" ht="25.5" customHeight="1">
      <c r="B89" s="104" t="s">
        <v>527</v>
      </c>
      <c r="C89" s="46"/>
      <c r="D89" s="46"/>
      <c r="E89" s="46"/>
      <c r="F89" s="46"/>
      <c r="G89" s="44"/>
      <c r="I89" s="49" t="s">
        <v>528</v>
      </c>
      <c r="J89" s="46"/>
      <c r="K89" s="46"/>
      <c r="L89" s="46"/>
      <c r="M89" s="46"/>
      <c r="N89" s="46"/>
      <c r="O89" s="46"/>
      <c r="P89" s="44"/>
    </row>
    <row r="90" ht="65.25" customHeight="1">
      <c r="B90" s="50"/>
      <c r="C90" s="51"/>
      <c r="D90" s="51"/>
      <c r="E90" s="51"/>
      <c r="F90" s="51"/>
      <c r="G90" s="52"/>
      <c r="I90" s="50"/>
      <c r="J90" s="51"/>
      <c r="K90" s="51"/>
      <c r="L90" s="51"/>
      <c r="M90" s="51"/>
      <c r="N90" s="51"/>
      <c r="O90" s="51"/>
      <c r="P90" s="52"/>
    </row>
    <row r="91" ht="25.5" customHeight="1">
      <c r="B91" s="116" t="s">
        <v>529</v>
      </c>
      <c r="C91" s="46"/>
      <c r="D91" s="46"/>
      <c r="E91" s="46"/>
      <c r="F91" s="46"/>
      <c r="G91" s="44"/>
      <c r="I91" s="49" t="s">
        <v>530</v>
      </c>
      <c r="J91" s="46"/>
      <c r="K91" s="46"/>
      <c r="L91" s="46"/>
      <c r="M91" s="46"/>
      <c r="N91" s="46"/>
      <c r="O91" s="46"/>
      <c r="P91" s="44"/>
    </row>
    <row r="92" ht="25.5" customHeight="1">
      <c r="B92" s="50"/>
      <c r="C92" s="51"/>
      <c r="D92" s="51"/>
      <c r="E92" s="51"/>
      <c r="F92" s="51"/>
      <c r="G92" s="52"/>
      <c r="I92" s="50"/>
      <c r="J92" s="51"/>
      <c r="K92" s="51"/>
      <c r="L92" s="51"/>
      <c r="M92" s="51"/>
      <c r="N92" s="51"/>
      <c r="O92" s="51"/>
      <c r="P92" s="52"/>
    </row>
    <row r="93" ht="15.75" customHeight="1"/>
    <row r="94" ht="25.5" customHeight="1">
      <c r="A94" s="27" t="s">
        <v>531</v>
      </c>
      <c r="B94" s="2"/>
      <c r="C94" s="2"/>
      <c r="D94" s="2"/>
      <c r="E94" s="2"/>
      <c r="F94" s="2"/>
      <c r="G94" s="2"/>
      <c r="H94" s="2"/>
      <c r="I94" s="2"/>
      <c r="J94" s="2"/>
      <c r="K94" s="2"/>
      <c r="L94" s="2"/>
      <c r="M94" s="2"/>
      <c r="N94" s="2"/>
      <c r="O94" s="2"/>
      <c r="P94" s="3"/>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c r="E1000" s="118">
        <v>1.0</v>
      </c>
    </row>
  </sheetData>
  <mergeCells count="22">
    <mergeCell ref="A1:P1"/>
    <mergeCell ref="A2:P2"/>
    <mergeCell ref="A4:P4"/>
    <mergeCell ref="A5:P6"/>
    <mergeCell ref="C7:G8"/>
    <mergeCell ref="B41:D41"/>
    <mergeCell ref="I41:P41"/>
    <mergeCell ref="B85:G86"/>
    <mergeCell ref="B87:G88"/>
    <mergeCell ref="B89:G90"/>
    <mergeCell ref="B91:G92"/>
    <mergeCell ref="I87:P88"/>
    <mergeCell ref="I89:P90"/>
    <mergeCell ref="I91:P92"/>
    <mergeCell ref="A94:P94"/>
    <mergeCell ref="A43:P43"/>
    <mergeCell ref="B49:P49"/>
    <mergeCell ref="A51:P51"/>
    <mergeCell ref="K81:L81"/>
    <mergeCell ref="A82:P82"/>
    <mergeCell ref="A84:P84"/>
    <mergeCell ref="I85:P8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5A8C"/>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1.0"/>
    <col customWidth="1" min="2" max="2" width="13.0"/>
    <col customWidth="1" min="3" max="3" width="24.0"/>
    <col customWidth="1" min="4" max="4" width="22.0"/>
    <col customWidth="1" min="5" max="5" width="10.0"/>
    <col customWidth="1" min="6" max="7" width="11.0"/>
    <col customWidth="1" min="8" max="8" width="12.0"/>
    <col customWidth="1" min="9" max="9" width="3.0"/>
    <col customWidth="1" min="10" max="10" width="11.0"/>
    <col customWidth="1" min="11" max="12" width="12.0"/>
    <col customWidth="1" min="13" max="15" width="10.0"/>
    <col customWidth="1" min="16" max="17" width="11.0"/>
    <col customWidth="1" min="18" max="18" width="13.0"/>
    <col customWidth="1" min="19" max="19" width="8.0"/>
    <col customWidth="1" min="20" max="20" width="3.0"/>
    <col customWidth="1" min="21" max="21" width="20.0"/>
    <col customWidth="1" min="22" max="22" width="11.0"/>
    <col customWidth="1" min="23" max="26" width="8.71"/>
  </cols>
  <sheetData>
    <row r="1" ht="30.0" customHeight="1">
      <c r="A1" s="1" t="s">
        <v>308</v>
      </c>
      <c r="B1" s="2"/>
      <c r="C1" s="2"/>
      <c r="D1" s="2"/>
      <c r="E1" s="2"/>
      <c r="F1" s="2"/>
      <c r="G1" s="2"/>
      <c r="H1" s="2"/>
      <c r="I1" s="2"/>
      <c r="J1" s="2"/>
      <c r="K1" s="2"/>
      <c r="L1" s="2"/>
      <c r="M1" s="2"/>
      <c r="N1" s="2"/>
      <c r="O1" s="2"/>
      <c r="P1" s="2"/>
      <c r="Q1" s="2"/>
      <c r="R1" s="2"/>
      <c r="S1" s="2"/>
      <c r="T1" s="2"/>
      <c r="U1" s="2"/>
      <c r="V1" s="3"/>
    </row>
    <row r="2" ht="30.0" customHeight="1">
      <c r="A2" s="4" t="s">
        <v>350</v>
      </c>
      <c r="B2" s="2"/>
      <c r="C2" s="2"/>
      <c r="D2" s="2"/>
      <c r="E2" s="2"/>
      <c r="F2" s="2"/>
      <c r="G2" s="2"/>
      <c r="H2" s="2"/>
      <c r="I2" s="2"/>
      <c r="J2" s="2"/>
      <c r="K2" s="2"/>
      <c r="L2" s="2"/>
      <c r="M2" s="2"/>
      <c r="N2" s="2"/>
      <c r="O2" s="2"/>
      <c r="P2" s="2"/>
      <c r="Q2" s="2"/>
      <c r="R2" s="2"/>
      <c r="S2" s="2"/>
      <c r="T2" s="2"/>
      <c r="U2" s="2"/>
      <c r="V2" s="3"/>
    </row>
    <row r="3" ht="25.5" customHeight="1">
      <c r="A3" s="27" t="s">
        <v>371</v>
      </c>
      <c r="B3" s="2"/>
      <c r="C3" s="2"/>
      <c r="D3" s="2"/>
      <c r="E3" s="2"/>
      <c r="F3" s="2"/>
      <c r="G3" s="2"/>
      <c r="H3" s="2"/>
      <c r="I3" s="2"/>
      <c r="J3" s="2"/>
      <c r="K3" s="2"/>
      <c r="L3" s="2"/>
      <c r="M3" s="2"/>
      <c r="N3" s="2"/>
      <c r="O3" s="2"/>
      <c r="P3" s="2"/>
      <c r="Q3" s="2"/>
      <c r="R3" s="2"/>
      <c r="S3" s="2"/>
      <c r="T3" s="2"/>
      <c r="U3" s="2"/>
      <c r="V3" s="3"/>
    </row>
    <row r="4">
      <c r="A4" s="81" t="s">
        <v>385</v>
      </c>
      <c r="B4" s="14"/>
      <c r="C4" s="14"/>
      <c r="D4" s="14"/>
      <c r="E4" s="14"/>
      <c r="F4" s="14"/>
      <c r="G4" s="14"/>
      <c r="H4" s="16"/>
      <c r="J4" s="83" t="s">
        <v>401</v>
      </c>
      <c r="K4" s="14"/>
      <c r="L4" s="14"/>
      <c r="M4" s="14"/>
      <c r="N4" s="14"/>
      <c r="O4" s="14"/>
      <c r="P4" s="14"/>
      <c r="Q4" s="14"/>
      <c r="R4" s="14"/>
      <c r="S4" s="16"/>
      <c r="U4" s="86" t="s">
        <v>409</v>
      </c>
      <c r="V4" s="16"/>
    </row>
    <row r="5" ht="30.0" customHeight="1">
      <c r="A5" s="6" t="s">
        <v>9</v>
      </c>
      <c r="B5" s="6" t="s">
        <v>13</v>
      </c>
      <c r="C5" s="6" t="s">
        <v>15</v>
      </c>
      <c r="D5" s="6" t="s">
        <v>17</v>
      </c>
      <c r="E5" s="6" t="s">
        <v>413</v>
      </c>
      <c r="F5" s="6" t="s">
        <v>22</v>
      </c>
      <c r="G5" s="6" t="s">
        <v>19</v>
      </c>
      <c r="H5" s="6" t="s">
        <v>21</v>
      </c>
      <c r="J5" s="69" t="s">
        <v>415</v>
      </c>
      <c r="K5" s="69" t="s">
        <v>281</v>
      </c>
      <c r="L5" s="69" t="s">
        <v>282</v>
      </c>
      <c r="M5" s="69" t="s">
        <v>280</v>
      </c>
      <c r="N5" s="69" t="s">
        <v>416</v>
      </c>
      <c r="O5" s="69" t="s">
        <v>417</v>
      </c>
      <c r="P5" s="69" t="s">
        <v>9</v>
      </c>
      <c r="Q5" s="69" t="s">
        <v>19</v>
      </c>
      <c r="R5" s="69" t="s">
        <v>241</v>
      </c>
      <c r="S5" s="69" t="s">
        <v>420</v>
      </c>
      <c r="U5" s="6" t="s">
        <v>422</v>
      </c>
      <c r="V5" s="6" t="s">
        <v>423</v>
      </c>
    </row>
    <row r="6">
      <c r="A6" s="9" t="s">
        <v>27</v>
      </c>
      <c r="B6" s="13">
        <v>46054.0</v>
      </c>
      <c r="C6" s="15" t="s">
        <v>32</v>
      </c>
      <c r="D6" s="15" t="s">
        <v>34</v>
      </c>
      <c r="E6" s="87" t="s">
        <v>38</v>
      </c>
      <c r="F6" s="15" t="s">
        <v>36</v>
      </c>
      <c r="G6" s="17">
        <v>18000.0</v>
      </c>
      <c r="H6" s="17">
        <v>142000.0</v>
      </c>
      <c r="J6" s="89">
        <v>2.0260201E7</v>
      </c>
      <c r="K6" s="90">
        <v>3.0</v>
      </c>
      <c r="L6" s="90">
        <v>1.0</v>
      </c>
      <c r="M6" s="92">
        <v>1.0</v>
      </c>
      <c r="N6" s="90">
        <v>1.0</v>
      </c>
      <c r="O6" s="90">
        <v>1.0</v>
      </c>
      <c r="P6" s="90" t="s">
        <v>27</v>
      </c>
      <c r="Q6" s="93">
        <v>18000.0</v>
      </c>
      <c r="R6" s="94">
        <v>142000.0</v>
      </c>
      <c r="S6" s="90">
        <v>1.0</v>
      </c>
      <c r="U6" s="96" t="str">
        <f t="array" ref="U6">IFERROR(INDEX('T4 DimCity'!$K$6:$K$20,MATCH(K6,'T4 DimCity'!$I$6:$I$20,0)),"?")</f>
        <v>Sindh</v>
      </c>
      <c r="V6" s="96" t="str">
        <f t="array" ref="V6">IFERROR(INDEX('T5 Other Dimensions'!$C$45:$C$48,MATCH(N6,'T5 Other Dimensions'!$B$45:$B$48,0)),"?")</f>
        <v>Marine</v>
      </c>
    </row>
    <row r="7">
      <c r="A7" s="9" t="s">
        <v>39</v>
      </c>
      <c r="B7" s="13">
        <v>46055.0</v>
      </c>
      <c r="C7" s="15" t="s">
        <v>40</v>
      </c>
      <c r="D7" s="15" t="s">
        <v>41</v>
      </c>
      <c r="E7" s="87" t="s">
        <v>38</v>
      </c>
      <c r="F7" s="15" t="s">
        <v>36</v>
      </c>
      <c r="G7" s="17">
        <v>22500.0</v>
      </c>
      <c r="H7" s="17">
        <v>171000.0</v>
      </c>
      <c r="J7" s="90">
        <v>2.0260202E7</v>
      </c>
      <c r="K7" s="90">
        <v>1.0</v>
      </c>
      <c r="L7" s="90">
        <v>2.0</v>
      </c>
      <c r="M7" s="92">
        <v>3.0</v>
      </c>
      <c r="N7" s="90">
        <v>3.0</v>
      </c>
      <c r="O7" s="90">
        <v>1.0</v>
      </c>
      <c r="P7" s="90" t="s">
        <v>123</v>
      </c>
      <c r="Q7" s="90">
        <v>6500.0</v>
      </c>
      <c r="R7" s="102">
        <v>58000.0</v>
      </c>
      <c r="S7" s="90">
        <v>1.0</v>
      </c>
      <c r="U7" s="96" t="str">
        <f t="array" ref="U7">IFERROR(INDEX('T4 DimCity'!$K$6:$K$20,MATCH(K7,'T4 DimCity'!$I$6:$I$20,0)),"?")</f>
        <v>Punjab</v>
      </c>
      <c r="V7" s="96" t="str">
        <f t="array" ref="V7">IFERROR(INDEX('T5 Other Dimensions'!$C$45:$C$48,MATCH(N7,'T5 Other Dimensions'!$B$45:$B$48,0)),"?")</f>
        <v>Road</v>
      </c>
    </row>
    <row r="8">
      <c r="A8" s="9" t="s">
        <v>42</v>
      </c>
      <c r="B8" s="13">
        <v>46056.0</v>
      </c>
      <c r="C8" s="15" t="s">
        <v>32</v>
      </c>
      <c r="D8" s="15" t="s">
        <v>34</v>
      </c>
      <c r="E8" s="87" t="s">
        <v>38</v>
      </c>
      <c r="F8" s="15" t="s">
        <v>43</v>
      </c>
      <c r="G8" s="17">
        <v>15000.0</v>
      </c>
      <c r="H8" s="17">
        <v>119000.0</v>
      </c>
      <c r="J8" s="90">
        <v>2.0260204E7</v>
      </c>
      <c r="K8" s="90">
        <v>6.0</v>
      </c>
      <c r="L8" s="90">
        <v>1.0</v>
      </c>
      <c r="M8" s="92">
        <v>6.0</v>
      </c>
      <c r="N8" s="90">
        <v>3.0</v>
      </c>
      <c r="O8" s="90">
        <v>1.0</v>
      </c>
      <c r="P8" s="90" t="s">
        <v>138</v>
      </c>
      <c r="Q8" s="90">
        <v>6900.0</v>
      </c>
      <c r="R8" s="102">
        <v>61000.0</v>
      </c>
      <c r="S8" s="90">
        <v>1.0</v>
      </c>
      <c r="U8" s="96" t="str">
        <f t="array" ref="U8">IFERROR(INDEX('T4 DimCity'!$K$6:$K$20,MATCH(K8,'T4 DimCity'!$I$6:$I$20,0)),"?")</f>
        <v>Punjab</v>
      </c>
      <c r="V8" s="96" t="str">
        <f t="array" ref="V8">IFERROR(INDEX('T5 Other Dimensions'!$C$45:$C$48,MATCH(N8,'T5 Other Dimensions'!$B$45:$B$48,0)),"?")</f>
        <v>Road</v>
      </c>
    </row>
    <row r="9">
      <c r="A9" s="9" t="s">
        <v>44</v>
      </c>
      <c r="B9" s="13">
        <v>46057.0</v>
      </c>
      <c r="C9" s="15" t="s">
        <v>45</v>
      </c>
      <c r="D9" s="15" t="s">
        <v>46</v>
      </c>
      <c r="E9" s="87" t="s">
        <v>38</v>
      </c>
      <c r="F9" s="15" t="s">
        <v>36</v>
      </c>
      <c r="G9" s="17">
        <v>20000.0</v>
      </c>
      <c r="H9" s="17">
        <v>188000.0</v>
      </c>
      <c r="J9" s="90">
        <v>2.0260207E7</v>
      </c>
      <c r="K9" s="90">
        <v>1.0</v>
      </c>
      <c r="L9" s="90">
        <v>9.0</v>
      </c>
      <c r="M9" s="92">
        <v>4.0</v>
      </c>
      <c r="N9" s="90">
        <v>3.0</v>
      </c>
      <c r="O9" s="90">
        <v>1.0</v>
      </c>
      <c r="P9" s="90" t="s">
        <v>147</v>
      </c>
      <c r="Q9" s="90">
        <v>5900.0</v>
      </c>
      <c r="R9" s="102">
        <v>39000.0</v>
      </c>
      <c r="S9" s="90">
        <v>1.0</v>
      </c>
      <c r="U9" s="96" t="str">
        <f t="array" ref="U9">IFERROR(INDEX('T4 DimCity'!$K$6:$K$20,MATCH(K9,'T4 DimCity'!$I$6:$I$20,0)),"?")</f>
        <v>Punjab</v>
      </c>
      <c r="V9" s="96" t="str">
        <f t="array" ref="V9">IFERROR(INDEX('T5 Other Dimensions'!$C$45:$C$48,MATCH(N9,'T5 Other Dimensions'!$B$45:$B$48,0)),"?")</f>
        <v>Road</v>
      </c>
    </row>
    <row r="10">
      <c r="A10" s="9" t="s">
        <v>48</v>
      </c>
      <c r="B10" s="13">
        <v>46058.0</v>
      </c>
      <c r="C10" s="15" t="s">
        <v>40</v>
      </c>
      <c r="D10" s="15" t="s">
        <v>50</v>
      </c>
      <c r="E10" s="87" t="s">
        <v>38</v>
      </c>
      <c r="F10" s="15" t="s">
        <v>36</v>
      </c>
      <c r="G10" s="17">
        <v>16500.0</v>
      </c>
      <c r="H10" s="17">
        <v>128000.0</v>
      </c>
      <c r="J10" s="90">
        <v>2.0260203E7</v>
      </c>
      <c r="K10" s="90">
        <v>1.0</v>
      </c>
      <c r="L10" s="90">
        <v>5.0</v>
      </c>
      <c r="M10" s="92">
        <v>8.0</v>
      </c>
      <c r="N10" s="90">
        <v>3.0</v>
      </c>
      <c r="O10" s="90">
        <v>2.0</v>
      </c>
      <c r="P10" s="90" t="s">
        <v>133</v>
      </c>
      <c r="Q10" s="90">
        <v>5800.0</v>
      </c>
      <c r="R10" s="102">
        <v>32000.0</v>
      </c>
      <c r="S10" s="90">
        <v>1.0</v>
      </c>
      <c r="U10" s="96" t="str">
        <f t="array" ref="U10">IFERROR(INDEX('T4 DimCity'!$K$6:$K$20,MATCH(K10,'T4 DimCity'!$I$6:$I$20,0)),"?")</f>
        <v>Punjab</v>
      </c>
      <c r="V10" s="96" t="str">
        <f t="array" ref="V10">IFERROR(INDEX('T5 Other Dimensions'!$C$45:$C$48,MATCH(N10,'T5 Other Dimensions'!$B$45:$B$48,0)),"?")</f>
        <v>Road</v>
      </c>
    </row>
    <row r="11">
      <c r="A11" s="9" t="s">
        <v>53</v>
      </c>
      <c r="B11" s="13">
        <v>46059.0</v>
      </c>
      <c r="C11" s="15" t="s">
        <v>32</v>
      </c>
      <c r="D11" s="15" t="s">
        <v>55</v>
      </c>
      <c r="E11" s="87" t="s">
        <v>38</v>
      </c>
      <c r="F11" s="15" t="s">
        <v>56</v>
      </c>
      <c r="G11" s="17">
        <v>19000.0</v>
      </c>
      <c r="H11" s="17">
        <v>154000.0</v>
      </c>
      <c r="J11" s="90">
        <v>2.0260209E7</v>
      </c>
      <c r="K11" s="90">
        <v>10.0</v>
      </c>
      <c r="L11" s="90">
        <v>3.0</v>
      </c>
      <c r="M11" s="92">
        <v>9.0</v>
      </c>
      <c r="N11" s="90">
        <v>3.0</v>
      </c>
      <c r="O11" s="90">
        <v>2.0</v>
      </c>
      <c r="P11" s="90" t="s">
        <v>156</v>
      </c>
      <c r="Q11" s="90">
        <v>6600.0</v>
      </c>
      <c r="R11" s="102">
        <v>92000.0</v>
      </c>
      <c r="S11" s="90">
        <v>1.0</v>
      </c>
      <c r="U11" s="96" t="str">
        <f t="array" ref="U11">IFERROR(INDEX('T4 DimCity'!$K$6:$K$20,MATCH(K11,'T4 DimCity'!$I$6:$I$20,0)),"?")</f>
        <v>Balochistan</v>
      </c>
      <c r="V11" s="96" t="str">
        <f t="array" ref="V11">IFERROR(INDEX('T5 Other Dimensions'!$C$45:$C$48,MATCH(N11,'T5 Other Dimensions'!$B$45:$B$48,0)),"?")</f>
        <v>Road</v>
      </c>
    </row>
    <row r="12">
      <c r="A12" s="9" t="s">
        <v>58</v>
      </c>
      <c r="B12" s="13">
        <v>46060.0</v>
      </c>
      <c r="C12" s="15" t="s">
        <v>40</v>
      </c>
      <c r="D12" s="15" t="s">
        <v>34</v>
      </c>
      <c r="E12" s="87" t="s">
        <v>38</v>
      </c>
      <c r="F12" s="15" t="s">
        <v>36</v>
      </c>
      <c r="G12" s="17">
        <v>14000.0</v>
      </c>
      <c r="H12" s="17">
        <v>109000.0</v>
      </c>
      <c r="J12" s="90">
        <v>2.0260211E7</v>
      </c>
      <c r="K12" s="90">
        <v>1.0</v>
      </c>
      <c r="L12" s="90">
        <v>11.0</v>
      </c>
      <c r="M12" s="92">
        <v>10.0</v>
      </c>
      <c r="N12" s="90">
        <v>3.0</v>
      </c>
      <c r="O12" s="90">
        <v>1.0</v>
      </c>
      <c r="P12" s="90" t="s">
        <v>163</v>
      </c>
      <c r="Q12" s="90">
        <v>7000.0</v>
      </c>
      <c r="R12" s="102">
        <v>27000.0</v>
      </c>
      <c r="S12" s="90">
        <v>1.0</v>
      </c>
      <c r="U12" s="96" t="str">
        <f t="array" ref="U12">IFERROR(INDEX('T4 DimCity'!$K$6:$K$20,MATCH(K12,'T4 DimCity'!$I$6:$I$20,0)),"?")</f>
        <v>Punjab</v>
      </c>
      <c r="V12" s="96" t="str">
        <f t="array" ref="V12">IFERROR(INDEX('T5 Other Dimensions'!$C$45:$C$48,MATCH(N12,'T5 Other Dimensions'!$B$45:$B$48,0)),"?")</f>
        <v>Road</v>
      </c>
    </row>
    <row r="13">
      <c r="A13" s="9" t="s">
        <v>59</v>
      </c>
      <c r="B13" s="13">
        <v>46062.0</v>
      </c>
      <c r="C13" s="15" t="s">
        <v>32</v>
      </c>
      <c r="D13" s="15" t="s">
        <v>61</v>
      </c>
      <c r="E13" s="87" t="s">
        <v>38</v>
      </c>
      <c r="F13" s="15" t="s">
        <v>43</v>
      </c>
      <c r="G13" s="17">
        <v>21000.0</v>
      </c>
      <c r="H13" s="17">
        <v>197000.0</v>
      </c>
      <c r="J13" s="90">
        <v>2.0260202E7</v>
      </c>
      <c r="K13" s="90">
        <v>3.0</v>
      </c>
      <c r="L13" s="90">
        <v>4.0</v>
      </c>
      <c r="M13" s="92">
        <v>10.0</v>
      </c>
      <c r="N13" s="90">
        <v>3.0</v>
      </c>
      <c r="O13" s="90">
        <v>1.0</v>
      </c>
      <c r="P13" s="90" t="s">
        <v>128</v>
      </c>
      <c r="Q13" s="90">
        <v>7200.0</v>
      </c>
      <c r="R13" s="102">
        <v>41000.0</v>
      </c>
      <c r="S13" s="90">
        <v>1.0</v>
      </c>
      <c r="U13" s="96" t="str">
        <f t="array" ref="U13">IFERROR(INDEX('T4 DimCity'!$K$6:$K$20,MATCH(K13,'T4 DimCity'!$I$6:$I$20,0)),"?")</f>
        <v>Sindh</v>
      </c>
      <c r="V13" s="96" t="str">
        <f t="array" ref="V13">IFERROR(INDEX('T5 Other Dimensions'!$C$45:$C$48,MATCH(N13,'T5 Other Dimensions'!$B$45:$B$48,0)),"?")</f>
        <v>Road</v>
      </c>
    </row>
    <row r="14">
      <c r="A14" s="9" t="s">
        <v>63</v>
      </c>
      <c r="B14" s="13">
        <v>46063.0</v>
      </c>
      <c r="C14" s="15" t="s">
        <v>45</v>
      </c>
      <c r="D14" s="15" t="s">
        <v>64</v>
      </c>
      <c r="E14" s="87" t="s">
        <v>38</v>
      </c>
      <c r="F14" s="15" t="s">
        <v>36</v>
      </c>
      <c r="G14" s="17">
        <v>17500.0</v>
      </c>
      <c r="H14" s="17">
        <v>98000.0</v>
      </c>
      <c r="J14" s="90">
        <v>2.0260212E7</v>
      </c>
      <c r="K14" s="90">
        <v>3.0</v>
      </c>
      <c r="L14" s="90">
        <v>4.0</v>
      </c>
      <c r="M14" s="92">
        <v>11.0</v>
      </c>
      <c r="N14" s="90">
        <v>3.0</v>
      </c>
      <c r="O14" s="90">
        <v>2.0</v>
      </c>
      <c r="P14" s="90" t="s">
        <v>170</v>
      </c>
      <c r="Q14" s="90">
        <v>5500.0</v>
      </c>
      <c r="R14" s="102">
        <v>36000.0</v>
      </c>
      <c r="S14" s="90">
        <v>1.0</v>
      </c>
      <c r="U14" s="96" t="str">
        <f t="array" ref="U14">IFERROR(INDEX('T4 DimCity'!$K$6:$K$20,MATCH(K14,'T4 DimCity'!$I$6:$I$20,0)),"?")</f>
        <v>Sindh</v>
      </c>
      <c r="V14" s="96" t="str">
        <f t="array" ref="V14">IFERROR(INDEX('T5 Other Dimensions'!$C$45:$C$48,MATCH(N14,'T5 Other Dimensions'!$B$45:$B$48,0)),"?")</f>
        <v>Road</v>
      </c>
    </row>
    <row r="15">
      <c r="A15" s="9" t="s">
        <v>65</v>
      </c>
      <c r="B15" s="13">
        <v>46064.0</v>
      </c>
      <c r="C15" s="15" t="s">
        <v>40</v>
      </c>
      <c r="D15" s="15" t="s">
        <v>66</v>
      </c>
      <c r="E15" s="87" t="s">
        <v>38</v>
      </c>
      <c r="F15" s="15" t="s">
        <v>36</v>
      </c>
      <c r="G15" s="17">
        <v>15500.0</v>
      </c>
      <c r="H15" s="17">
        <v>139000.0</v>
      </c>
      <c r="J15" s="90">
        <v>2.0260206E7</v>
      </c>
      <c r="K15" s="90">
        <v>3.0</v>
      </c>
      <c r="L15" s="90">
        <v>8.0</v>
      </c>
      <c r="M15" s="92">
        <v>13.0</v>
      </c>
      <c r="N15" s="90">
        <v>3.0</v>
      </c>
      <c r="O15" s="90">
        <v>3.0</v>
      </c>
      <c r="P15" s="90" t="s">
        <v>144</v>
      </c>
      <c r="Q15" s="90">
        <v>7400.0</v>
      </c>
      <c r="R15" s="102">
        <v>83000.0</v>
      </c>
      <c r="S15" s="90">
        <v>1.0</v>
      </c>
      <c r="U15" s="96" t="str">
        <f t="array" ref="U15">IFERROR(INDEX('T4 DimCity'!$K$6:$K$20,MATCH(K15,'T4 DimCity'!$I$6:$I$20,0)),"?")</f>
        <v>Sindh</v>
      </c>
      <c r="V15" s="96" t="str">
        <f t="array" ref="V15">IFERROR(INDEX('T5 Other Dimensions'!$C$45:$C$48,MATCH(N15,'T5 Other Dimensions'!$B$45:$B$48,0)),"?")</f>
        <v>Road</v>
      </c>
    </row>
    <row r="16">
      <c r="A16" s="9" t="s">
        <v>69</v>
      </c>
      <c r="B16" s="13">
        <v>46065.0</v>
      </c>
      <c r="C16" s="15" t="s">
        <v>32</v>
      </c>
      <c r="D16" s="15" t="s">
        <v>72</v>
      </c>
      <c r="E16" s="87" t="s">
        <v>38</v>
      </c>
      <c r="F16" s="15" t="s">
        <v>43</v>
      </c>
      <c r="G16" s="17">
        <v>13500.0</v>
      </c>
      <c r="H16" s="17">
        <v>61000.0</v>
      </c>
      <c r="J16" s="90">
        <v>2.026021E7</v>
      </c>
      <c r="K16" s="90">
        <v>5.0</v>
      </c>
      <c r="L16" s="90">
        <v>6.0</v>
      </c>
      <c r="M16" s="92">
        <v>14.0</v>
      </c>
      <c r="N16" s="90">
        <v>3.0</v>
      </c>
      <c r="O16" s="90">
        <v>1.0</v>
      </c>
      <c r="P16" s="90" t="s">
        <v>161</v>
      </c>
      <c r="Q16" s="90">
        <v>6200.0</v>
      </c>
      <c r="R16" s="102">
        <v>44000.0</v>
      </c>
      <c r="S16" s="90">
        <v>1.0</v>
      </c>
      <c r="U16" s="96" t="str">
        <f t="array" ref="U16">IFERROR(INDEX('T4 DimCity'!$K$6:$K$20,MATCH(K16,'T4 DimCity'!$I$6:$I$20,0)),"?")</f>
        <v>Punjab</v>
      </c>
      <c r="V16" s="96" t="str">
        <f t="array" ref="V16">IFERROR(INDEX('T5 Other Dimensions'!$C$45:$C$48,MATCH(N16,'T5 Other Dimensions'!$B$45:$B$48,0)),"?")</f>
        <v>Road</v>
      </c>
    </row>
    <row r="17">
      <c r="A17" s="9" t="s">
        <v>74</v>
      </c>
      <c r="B17" s="13">
        <v>46066.0</v>
      </c>
      <c r="C17" s="15" t="s">
        <v>40</v>
      </c>
      <c r="D17" s="15" t="s">
        <v>34</v>
      </c>
      <c r="E17" s="87" t="s">
        <v>38</v>
      </c>
      <c r="F17" s="15" t="s">
        <v>36</v>
      </c>
      <c r="G17" s="17">
        <v>14000.0</v>
      </c>
      <c r="H17" s="17">
        <v>112000.0</v>
      </c>
      <c r="J17" s="90">
        <v>2.0260205E7</v>
      </c>
      <c r="K17" s="90">
        <v>2.0</v>
      </c>
      <c r="L17" s="90">
        <v>7.0</v>
      </c>
      <c r="M17" s="92">
        <v>16.0</v>
      </c>
      <c r="N17" s="90">
        <v>3.0</v>
      </c>
      <c r="O17" s="90">
        <v>1.0</v>
      </c>
      <c r="P17" s="90" t="s">
        <v>141</v>
      </c>
      <c r="Q17" s="90">
        <v>6100.0</v>
      </c>
      <c r="R17" s="102">
        <v>47000.0</v>
      </c>
      <c r="S17" s="90">
        <v>1.0</v>
      </c>
      <c r="U17" s="96" t="str">
        <f t="array" ref="U17">IFERROR(INDEX('T4 DimCity'!$K$6:$K$20,MATCH(K17,'T4 DimCity'!$I$6:$I$20,0)),"?")</f>
        <v>Islamabad ICT</v>
      </c>
      <c r="V17" s="96" t="str">
        <f t="array" ref="V17">IFERROR(INDEX('T5 Other Dimensions'!$C$45:$C$48,MATCH(N17,'T5 Other Dimensions'!$B$45:$B$48,0)),"?")</f>
        <v>Road</v>
      </c>
    </row>
    <row r="18">
      <c r="A18" s="9" t="s">
        <v>79</v>
      </c>
      <c r="B18" s="13">
        <v>46056.0</v>
      </c>
      <c r="C18" s="15" t="s">
        <v>64</v>
      </c>
      <c r="D18" s="15" t="s">
        <v>82</v>
      </c>
      <c r="E18" s="87" t="s">
        <v>85</v>
      </c>
      <c r="F18" s="15" t="s">
        <v>36</v>
      </c>
      <c r="G18" s="17">
        <v>32500.0</v>
      </c>
      <c r="H18" s="17">
        <v>285000.0</v>
      </c>
      <c r="J18" s="90">
        <v>2.0260213E7</v>
      </c>
      <c r="K18" s="90">
        <v>12.0</v>
      </c>
      <c r="L18" s="90">
        <v>13.0</v>
      </c>
      <c r="M18" s="92">
        <v>2.0</v>
      </c>
      <c r="N18" s="90">
        <v>3.0</v>
      </c>
      <c r="O18" s="90">
        <v>1.0</v>
      </c>
      <c r="P18" s="90" t="s">
        <v>173</v>
      </c>
      <c r="Q18" s="90">
        <v>5800.0</v>
      </c>
      <c r="R18" s="102">
        <v>45000.0</v>
      </c>
      <c r="S18" s="90">
        <v>1.0</v>
      </c>
      <c r="U18" s="96" t="str">
        <f t="array" ref="U18">IFERROR(INDEX('T4 DimCity'!$K$6:$K$20,MATCH(K18,'T4 DimCity'!$I$6:$I$20,0)),"?")</f>
        <v>Punjab</v>
      </c>
      <c r="V18" s="96" t="str">
        <f t="array" ref="V18">IFERROR(INDEX('T5 Other Dimensions'!$C$45:$C$48,MATCH(N18,'T5 Other Dimensions'!$B$45:$B$48,0)),"?")</f>
        <v>Road</v>
      </c>
    </row>
    <row r="19">
      <c r="A19" s="9" t="s">
        <v>86</v>
      </c>
      <c r="B19" s="13">
        <v>46056.0</v>
      </c>
      <c r="C19" s="15" t="s">
        <v>64</v>
      </c>
      <c r="D19" s="15" t="s">
        <v>91</v>
      </c>
      <c r="E19" s="87" t="s">
        <v>85</v>
      </c>
      <c r="F19" s="15" t="s">
        <v>36</v>
      </c>
      <c r="G19" s="17">
        <v>28750.0</v>
      </c>
      <c r="H19" s="17">
        <v>301000.0</v>
      </c>
      <c r="J19" s="90">
        <v>2.0260207E7</v>
      </c>
      <c r="K19" s="90">
        <v>3.0</v>
      </c>
      <c r="L19" s="90">
        <v>1.0</v>
      </c>
      <c r="M19" s="92">
        <v>2.0</v>
      </c>
      <c r="N19" s="90">
        <v>1.0</v>
      </c>
      <c r="O19" s="90">
        <v>1.0</v>
      </c>
      <c r="P19" s="90" t="s">
        <v>58</v>
      </c>
      <c r="Q19" s="90">
        <v>14000.0</v>
      </c>
      <c r="R19" s="102">
        <v>109000.0</v>
      </c>
      <c r="S19" s="90">
        <v>1.0</v>
      </c>
      <c r="U19" s="96" t="str">
        <f t="array" ref="U19">IFERROR(INDEX('T4 DimCity'!$K$6:$K$20,MATCH(K19,'T4 DimCity'!$I$6:$I$20,0)),"?")</f>
        <v>Sindh</v>
      </c>
      <c r="V19" s="96" t="str">
        <f t="array" ref="V19">IFERROR(INDEX('T5 Other Dimensions'!$C$45:$C$48,MATCH(N19,'T5 Other Dimensions'!$B$45:$B$48,0)),"?")</f>
        <v>Marine</v>
      </c>
    </row>
    <row r="20">
      <c r="A20" s="9" t="s">
        <v>95</v>
      </c>
      <c r="B20" s="13">
        <v>46057.0</v>
      </c>
      <c r="C20" s="15" t="s">
        <v>98</v>
      </c>
      <c r="D20" s="15" t="s">
        <v>100</v>
      </c>
      <c r="E20" s="87" t="s">
        <v>85</v>
      </c>
      <c r="F20" s="15" t="s">
        <v>43</v>
      </c>
      <c r="G20" s="17">
        <v>30000.0</v>
      </c>
      <c r="H20" s="17">
        <v>262000.0</v>
      </c>
      <c r="J20" s="90">
        <v>2.0260213E7</v>
      </c>
      <c r="K20" s="90">
        <v>3.0</v>
      </c>
      <c r="L20" s="90">
        <v>1.0</v>
      </c>
      <c r="M20" s="92">
        <v>2.0</v>
      </c>
      <c r="N20" s="90">
        <v>1.0</v>
      </c>
      <c r="O20" s="90">
        <v>1.0</v>
      </c>
      <c r="P20" s="90" t="s">
        <v>74</v>
      </c>
      <c r="Q20" s="90">
        <v>14000.0</v>
      </c>
      <c r="R20" s="102">
        <v>112000.0</v>
      </c>
      <c r="S20" s="90">
        <v>1.0</v>
      </c>
      <c r="U20" s="96" t="str">
        <f t="array" ref="U20">IFERROR(INDEX('T4 DimCity'!$K$6:$K$20,MATCH(K20,'T4 DimCity'!$I$6:$I$20,0)),"?")</f>
        <v>Sindh</v>
      </c>
      <c r="V20" s="96" t="str">
        <f t="array" ref="V20">IFERROR(INDEX('T5 Other Dimensions'!$C$45:$C$48,MATCH(N20,'T5 Other Dimensions'!$B$45:$B$48,0)),"?")</f>
        <v>Marine</v>
      </c>
    </row>
    <row r="21" ht="15.75" customHeight="1">
      <c r="A21" s="9" t="s">
        <v>104</v>
      </c>
      <c r="B21" s="13">
        <v>46058.0</v>
      </c>
      <c r="C21" s="15" t="s">
        <v>64</v>
      </c>
      <c r="D21" s="15" t="s">
        <v>50</v>
      </c>
      <c r="E21" s="87" t="s">
        <v>85</v>
      </c>
      <c r="F21" s="15" t="s">
        <v>36</v>
      </c>
      <c r="G21" s="17">
        <v>26500.0</v>
      </c>
      <c r="H21" s="17">
        <v>198000.0</v>
      </c>
      <c r="J21" s="90">
        <v>2.0260202E7</v>
      </c>
      <c r="K21" s="90">
        <v>3.0</v>
      </c>
      <c r="L21" s="90">
        <v>5.0</v>
      </c>
      <c r="M21" s="92">
        <v>5.0</v>
      </c>
      <c r="N21" s="90">
        <v>1.0</v>
      </c>
      <c r="O21" s="90">
        <v>1.0</v>
      </c>
      <c r="P21" s="90" t="s">
        <v>39</v>
      </c>
      <c r="Q21" s="90">
        <v>22500.0</v>
      </c>
      <c r="R21" s="102">
        <v>171000.0</v>
      </c>
      <c r="S21" s="90">
        <v>1.0</v>
      </c>
      <c r="U21" s="96" t="str">
        <f t="array" ref="U21">IFERROR(INDEX('T4 DimCity'!$K$6:$K$20,MATCH(K21,'T4 DimCity'!$I$6:$I$20,0)),"?")</f>
        <v>Sindh</v>
      </c>
      <c r="V21" s="96" t="str">
        <f t="array" ref="V21">IFERROR(INDEX('T5 Other Dimensions'!$C$45:$C$48,MATCH(N21,'T5 Other Dimensions'!$B$45:$B$48,0)),"?")</f>
        <v>Marine</v>
      </c>
    </row>
    <row r="22" ht="15.75" customHeight="1">
      <c r="A22" s="9" t="s">
        <v>108</v>
      </c>
      <c r="B22" s="13">
        <v>46059.0</v>
      </c>
      <c r="C22" s="15" t="s">
        <v>98</v>
      </c>
      <c r="D22" s="15" t="s">
        <v>82</v>
      </c>
      <c r="E22" s="87" t="s">
        <v>85</v>
      </c>
      <c r="F22" s="15" t="s">
        <v>56</v>
      </c>
      <c r="G22" s="17">
        <v>31250.0</v>
      </c>
      <c r="H22" s="17">
        <v>276000.0</v>
      </c>
      <c r="J22" s="90">
        <v>2.0260203E7</v>
      </c>
      <c r="K22" s="90">
        <v>3.0</v>
      </c>
      <c r="L22" s="90">
        <v>1.0</v>
      </c>
      <c r="M22" s="92">
        <v>2.0</v>
      </c>
      <c r="N22" s="90">
        <v>1.0</v>
      </c>
      <c r="O22" s="90">
        <v>2.0</v>
      </c>
      <c r="P22" s="90" t="s">
        <v>42</v>
      </c>
      <c r="Q22" s="90">
        <v>15000.0</v>
      </c>
      <c r="R22" s="102">
        <v>119000.0</v>
      </c>
      <c r="S22" s="90">
        <v>1.0</v>
      </c>
      <c r="U22" s="96" t="str">
        <f t="array" ref="U22">IFERROR(INDEX('T4 DimCity'!$K$6:$K$20,MATCH(K22,'T4 DimCity'!$I$6:$I$20,0)),"?")</f>
        <v>Sindh</v>
      </c>
      <c r="V22" s="96" t="str">
        <f t="array" ref="V22">IFERROR(INDEX('T5 Other Dimensions'!$C$45:$C$48,MATCH(N22,'T5 Other Dimensions'!$B$45:$B$48,0)),"?")</f>
        <v>Marine</v>
      </c>
    </row>
    <row r="23" ht="15.75" customHeight="1">
      <c r="A23" s="9" t="s">
        <v>110</v>
      </c>
      <c r="B23" s="13">
        <v>46060.0</v>
      </c>
      <c r="C23" s="15" t="s">
        <v>64</v>
      </c>
      <c r="D23" s="15" t="s">
        <v>112</v>
      </c>
      <c r="E23" s="87" t="s">
        <v>85</v>
      </c>
      <c r="F23" s="15" t="s">
        <v>36</v>
      </c>
      <c r="G23" s="17">
        <v>29000.0</v>
      </c>
      <c r="H23" s="17">
        <v>334000.0</v>
      </c>
      <c r="J23" s="90">
        <v>2.0260211E7</v>
      </c>
      <c r="K23" s="90">
        <v>3.0</v>
      </c>
      <c r="L23" s="90">
        <v>2.0</v>
      </c>
      <c r="M23" s="92">
        <v>7.0</v>
      </c>
      <c r="N23" s="90">
        <v>1.0</v>
      </c>
      <c r="O23" s="90">
        <v>1.0</v>
      </c>
      <c r="P23" s="90" t="s">
        <v>65</v>
      </c>
      <c r="Q23" s="90">
        <v>15500.0</v>
      </c>
      <c r="R23" s="102">
        <v>139000.0</v>
      </c>
      <c r="S23" s="90">
        <v>1.0</v>
      </c>
      <c r="U23" s="96" t="str">
        <f t="array" ref="U23">IFERROR(INDEX('T4 DimCity'!$K$6:$K$20,MATCH(K23,'T4 DimCity'!$I$6:$I$20,0)),"?")</f>
        <v>Sindh</v>
      </c>
      <c r="V23" s="96" t="str">
        <f t="array" ref="V23">IFERROR(INDEX('T5 Other Dimensions'!$C$45:$C$48,MATCH(N23,'T5 Other Dimensions'!$B$45:$B$48,0)),"?")</f>
        <v>Marine</v>
      </c>
    </row>
    <row r="24" ht="15.75" customHeight="1">
      <c r="A24" s="9" t="s">
        <v>113</v>
      </c>
      <c r="B24" s="13">
        <v>46062.0</v>
      </c>
      <c r="C24" s="15" t="s">
        <v>98</v>
      </c>
      <c r="D24" s="15" t="s">
        <v>91</v>
      </c>
      <c r="E24" s="87" t="s">
        <v>85</v>
      </c>
      <c r="F24" s="15" t="s">
        <v>56</v>
      </c>
      <c r="G24" s="17">
        <v>27500.0</v>
      </c>
      <c r="H24" s="17">
        <v>289000.0</v>
      </c>
      <c r="J24" s="90">
        <v>2.026021E7</v>
      </c>
      <c r="K24" s="90">
        <v>14.0</v>
      </c>
      <c r="L24" s="90">
        <v>3.0</v>
      </c>
      <c r="M24" s="92">
        <v>12.0</v>
      </c>
      <c r="N24" s="90">
        <v>1.0</v>
      </c>
      <c r="O24" s="90">
        <v>1.0</v>
      </c>
      <c r="P24" s="90" t="s">
        <v>63</v>
      </c>
      <c r="Q24" s="90">
        <v>17500.0</v>
      </c>
      <c r="R24" s="102">
        <v>98000.0</v>
      </c>
      <c r="S24" s="90">
        <v>1.0</v>
      </c>
      <c r="U24" s="96" t="str">
        <f t="array" ref="U24">IFERROR(INDEX('T4 DimCity'!$K$6:$K$20,MATCH(K24,'T4 DimCity'!$I$6:$I$20,0)),"?")</f>
        <v>Balochistan</v>
      </c>
      <c r="V24" s="96" t="str">
        <f t="array" ref="V24">IFERROR(INDEX('T5 Other Dimensions'!$C$45:$C$48,MATCH(N24,'T5 Other Dimensions'!$B$45:$B$48,0)),"?")</f>
        <v>Marine</v>
      </c>
    </row>
    <row r="25" ht="15.75" customHeight="1">
      <c r="A25" s="9" t="s">
        <v>114</v>
      </c>
      <c r="B25" s="13">
        <v>46063.0</v>
      </c>
      <c r="C25" s="15" t="s">
        <v>64</v>
      </c>
      <c r="D25" s="15" t="s">
        <v>82</v>
      </c>
      <c r="E25" s="87" t="s">
        <v>85</v>
      </c>
      <c r="F25" s="15" t="s">
        <v>36</v>
      </c>
      <c r="G25" s="17">
        <v>33000.0</v>
      </c>
      <c r="H25" s="17">
        <v>291000.0</v>
      </c>
      <c r="J25" s="90">
        <v>2.0260205E7</v>
      </c>
      <c r="K25" s="90">
        <v>3.0</v>
      </c>
      <c r="L25" s="90">
        <v>6.0</v>
      </c>
      <c r="M25" s="92">
        <v>10.0</v>
      </c>
      <c r="N25" s="90">
        <v>1.0</v>
      </c>
      <c r="O25" s="90">
        <v>1.0</v>
      </c>
      <c r="P25" s="90" t="s">
        <v>48</v>
      </c>
      <c r="Q25" s="90">
        <v>16500.0</v>
      </c>
      <c r="R25" s="102">
        <v>128000.0</v>
      </c>
      <c r="S25" s="90">
        <v>1.0</v>
      </c>
      <c r="U25" s="96" t="str">
        <f t="array" ref="U25">IFERROR(INDEX('T4 DimCity'!$K$6:$K$20,MATCH(K25,'T4 DimCity'!$I$6:$I$20,0)),"?")</f>
        <v>Sindh</v>
      </c>
      <c r="V25" s="96" t="str">
        <f t="array" ref="V25">IFERROR(INDEX('T5 Other Dimensions'!$C$45:$C$48,MATCH(N25,'T5 Other Dimensions'!$B$45:$B$48,0)),"?")</f>
        <v>Marine</v>
      </c>
    </row>
    <row r="26" ht="15.75" customHeight="1">
      <c r="A26" s="9" t="s">
        <v>116</v>
      </c>
      <c r="B26" s="13">
        <v>46064.0</v>
      </c>
      <c r="C26" s="15" t="s">
        <v>64</v>
      </c>
      <c r="D26" s="15" t="s">
        <v>118</v>
      </c>
      <c r="E26" s="87" t="s">
        <v>85</v>
      </c>
      <c r="F26" s="15" t="s">
        <v>43</v>
      </c>
      <c r="G26" s="17">
        <v>28250.0</v>
      </c>
      <c r="H26" s="17">
        <v>142000.0</v>
      </c>
      <c r="J26" s="90">
        <v>2.0260212E7</v>
      </c>
      <c r="K26" s="90">
        <v>3.0</v>
      </c>
      <c r="L26" s="90">
        <v>4.0</v>
      </c>
      <c r="M26" s="92">
        <v>15.0</v>
      </c>
      <c r="N26" s="90">
        <v>1.0</v>
      </c>
      <c r="O26" s="90">
        <v>2.0</v>
      </c>
      <c r="P26" s="90" t="s">
        <v>69</v>
      </c>
      <c r="Q26" s="90">
        <v>13500.0</v>
      </c>
      <c r="R26" s="102">
        <v>61000.0</v>
      </c>
      <c r="S26" s="90">
        <v>1.0</v>
      </c>
      <c r="U26" s="96" t="str">
        <f t="array" ref="U26">IFERROR(INDEX('T4 DimCity'!$K$6:$K$20,MATCH(K26,'T4 DimCity'!$I$6:$I$20,0)),"?")</f>
        <v>Sindh</v>
      </c>
      <c r="V26" s="96" t="str">
        <f t="array" ref="V26">IFERROR(INDEX('T5 Other Dimensions'!$C$45:$C$48,MATCH(N26,'T5 Other Dimensions'!$B$45:$B$48,0)),"?")</f>
        <v>Marine</v>
      </c>
    </row>
    <row r="27" ht="15.75" customHeight="1">
      <c r="A27" s="9" t="s">
        <v>120</v>
      </c>
      <c r="B27" s="13">
        <v>46065.0</v>
      </c>
      <c r="C27" s="15" t="s">
        <v>98</v>
      </c>
      <c r="D27" s="15" t="s">
        <v>50</v>
      </c>
      <c r="E27" s="87" t="s">
        <v>85</v>
      </c>
      <c r="F27" s="15" t="s">
        <v>36</v>
      </c>
      <c r="G27" s="17">
        <v>28500.0</v>
      </c>
      <c r="H27" s="17">
        <v>207000.0</v>
      </c>
      <c r="J27" s="90">
        <v>2.0260206E7</v>
      </c>
      <c r="K27" s="90">
        <v>3.0</v>
      </c>
      <c r="L27" s="90">
        <v>9.0</v>
      </c>
      <c r="M27" s="92">
        <v>17.0</v>
      </c>
      <c r="N27" s="90">
        <v>1.0</v>
      </c>
      <c r="O27" s="90">
        <v>3.0</v>
      </c>
      <c r="P27" s="90" t="s">
        <v>53</v>
      </c>
      <c r="Q27" s="90">
        <v>19000.0</v>
      </c>
      <c r="R27" s="102">
        <v>154000.0</v>
      </c>
      <c r="S27" s="90">
        <v>1.0</v>
      </c>
      <c r="U27" s="96" t="str">
        <f t="array" ref="U27">IFERROR(INDEX('T4 DimCity'!$K$6:$K$20,MATCH(K27,'T4 DimCity'!$I$6:$I$20,0)),"?")</f>
        <v>Sindh</v>
      </c>
      <c r="V27" s="96" t="str">
        <f t="array" ref="V27">IFERROR(INDEX('T5 Other Dimensions'!$C$45:$C$48,MATCH(N27,'T5 Other Dimensions'!$B$45:$B$48,0)),"?")</f>
        <v>Marine</v>
      </c>
    </row>
    <row r="28" ht="15.75" customHeight="1">
      <c r="A28" s="9" t="s">
        <v>123</v>
      </c>
      <c r="B28" s="13">
        <v>46055.0</v>
      </c>
      <c r="C28" s="15" t="s">
        <v>82</v>
      </c>
      <c r="D28" s="15" t="s">
        <v>124</v>
      </c>
      <c r="E28" s="87" t="s">
        <v>127</v>
      </c>
      <c r="F28" s="15" t="s">
        <v>36</v>
      </c>
      <c r="G28" s="17">
        <v>6500.0</v>
      </c>
      <c r="H28" s="17">
        <v>58000.0</v>
      </c>
      <c r="J28" s="90">
        <v>2.0260209E7</v>
      </c>
      <c r="K28" s="90">
        <v>3.0</v>
      </c>
      <c r="L28" s="90">
        <v>7.0</v>
      </c>
      <c r="M28" s="92">
        <v>18.0</v>
      </c>
      <c r="N28" s="90">
        <v>1.0</v>
      </c>
      <c r="O28" s="90">
        <v>2.0</v>
      </c>
      <c r="P28" s="90" t="s">
        <v>59</v>
      </c>
      <c r="Q28" s="90">
        <v>21000.0</v>
      </c>
      <c r="R28" s="102">
        <v>197000.0</v>
      </c>
      <c r="S28" s="90">
        <v>1.0</v>
      </c>
      <c r="U28" s="96" t="str">
        <f t="array" ref="U28">IFERROR(INDEX('T4 DimCity'!$K$6:$K$20,MATCH(K28,'T4 DimCity'!$I$6:$I$20,0)),"?")</f>
        <v>Sindh</v>
      </c>
      <c r="V28" s="96" t="str">
        <f t="array" ref="V28">IFERROR(INDEX('T5 Other Dimensions'!$C$45:$C$48,MATCH(N28,'T5 Other Dimensions'!$B$45:$B$48,0)),"?")</f>
        <v>Marine</v>
      </c>
    </row>
    <row r="29" ht="15.75" customHeight="1">
      <c r="A29" s="9" t="s">
        <v>128</v>
      </c>
      <c r="B29" s="13">
        <v>46055.0</v>
      </c>
      <c r="C29" s="15" t="s">
        <v>129</v>
      </c>
      <c r="D29" s="15" t="s">
        <v>72</v>
      </c>
      <c r="E29" s="87" t="s">
        <v>127</v>
      </c>
      <c r="F29" s="15" t="s">
        <v>36</v>
      </c>
      <c r="G29" s="17">
        <v>7200.0</v>
      </c>
      <c r="H29" s="17">
        <v>41000.0</v>
      </c>
      <c r="J29" s="90">
        <v>2.0260204E7</v>
      </c>
      <c r="K29" s="90">
        <v>14.0</v>
      </c>
      <c r="L29" s="90">
        <v>10.0</v>
      </c>
      <c r="M29" s="92">
        <v>19.0</v>
      </c>
      <c r="N29" s="90">
        <v>1.0</v>
      </c>
      <c r="O29" s="90">
        <v>1.0</v>
      </c>
      <c r="P29" s="90" t="s">
        <v>44</v>
      </c>
      <c r="Q29" s="90">
        <v>20000.0</v>
      </c>
      <c r="R29" s="102">
        <v>188000.0</v>
      </c>
      <c r="S29" s="90">
        <v>1.0</v>
      </c>
      <c r="U29" s="96" t="str">
        <f t="array" ref="U29">IFERROR(INDEX('T4 DimCity'!$K$6:$K$20,MATCH(K29,'T4 DimCity'!$I$6:$I$20,0)),"?")</f>
        <v>Balochistan</v>
      </c>
      <c r="V29" s="96" t="str">
        <f t="array" ref="V29">IFERROR(INDEX('T5 Other Dimensions'!$C$45:$C$48,MATCH(N29,'T5 Other Dimensions'!$B$45:$B$48,0)),"?")</f>
        <v>Marine</v>
      </c>
    </row>
    <row r="30" ht="15.75" customHeight="1">
      <c r="A30" s="9" t="s">
        <v>133</v>
      </c>
      <c r="B30" s="13">
        <v>46056.0</v>
      </c>
      <c r="C30" s="15" t="s">
        <v>82</v>
      </c>
      <c r="D30" s="15" t="s">
        <v>100</v>
      </c>
      <c r="E30" s="87" t="s">
        <v>127</v>
      </c>
      <c r="F30" s="15" t="s">
        <v>43</v>
      </c>
      <c r="G30" s="17">
        <v>5800.0</v>
      </c>
      <c r="H30" s="17">
        <v>32000.0</v>
      </c>
      <c r="J30" s="90">
        <v>2.0260203E7</v>
      </c>
      <c r="K30" s="90">
        <v>3.0</v>
      </c>
      <c r="L30" s="90">
        <v>1.0</v>
      </c>
      <c r="M30" s="92">
        <v>2.0</v>
      </c>
      <c r="N30" s="90">
        <v>2.0</v>
      </c>
      <c r="O30" s="90">
        <v>1.0</v>
      </c>
      <c r="P30" s="90" t="s">
        <v>79</v>
      </c>
      <c r="Q30" s="90">
        <v>32500.0</v>
      </c>
      <c r="R30" s="102">
        <v>285000.0</v>
      </c>
      <c r="S30" s="90">
        <v>1.0</v>
      </c>
      <c r="U30" s="96" t="str">
        <f t="array" ref="U30">IFERROR(INDEX('T4 DimCity'!$K$6:$K$20,MATCH(K30,'T4 DimCity'!$I$6:$I$20,0)),"?")</f>
        <v>Sindh</v>
      </c>
      <c r="V30" s="96" t="str">
        <f t="array" ref="V30">IFERROR(INDEX('T5 Other Dimensions'!$C$45:$C$48,MATCH(N30,'T5 Other Dimensions'!$B$45:$B$48,0)),"?")</f>
        <v>Rail</v>
      </c>
    </row>
    <row r="31" ht="15.75" customHeight="1">
      <c r="A31" s="9" t="s">
        <v>138</v>
      </c>
      <c r="B31" s="13">
        <v>46057.0</v>
      </c>
      <c r="C31" s="15" t="s">
        <v>50</v>
      </c>
      <c r="D31" s="15" t="s">
        <v>82</v>
      </c>
      <c r="E31" s="87" t="s">
        <v>127</v>
      </c>
      <c r="F31" s="15" t="s">
        <v>36</v>
      </c>
      <c r="G31" s="17">
        <v>6900.0</v>
      </c>
      <c r="H31" s="17">
        <v>61000.0</v>
      </c>
      <c r="J31" s="90">
        <v>2.026021E7</v>
      </c>
      <c r="K31" s="90">
        <v>3.0</v>
      </c>
      <c r="L31" s="90">
        <v>1.0</v>
      </c>
      <c r="M31" s="92">
        <v>2.0</v>
      </c>
      <c r="N31" s="90">
        <v>2.0</v>
      </c>
      <c r="O31" s="90">
        <v>1.0</v>
      </c>
      <c r="P31" s="90" t="s">
        <v>114</v>
      </c>
      <c r="Q31" s="90">
        <v>33000.0</v>
      </c>
      <c r="R31" s="102">
        <v>291000.0</v>
      </c>
      <c r="S31" s="90">
        <v>1.0</v>
      </c>
      <c r="U31" s="96" t="str">
        <f t="array" ref="U31">IFERROR(INDEX('T4 DimCity'!$K$6:$K$20,MATCH(K31,'T4 DimCity'!$I$6:$I$20,0)),"?")</f>
        <v>Sindh</v>
      </c>
      <c r="V31" s="96" t="str">
        <f t="array" ref="V31">IFERROR(INDEX('T5 Other Dimensions'!$C$45:$C$48,MATCH(N31,'T5 Other Dimensions'!$B$45:$B$48,0)),"?")</f>
        <v>Rail</v>
      </c>
    </row>
    <row r="32" ht="15.75" customHeight="1">
      <c r="A32" s="9" t="s">
        <v>141</v>
      </c>
      <c r="B32" s="13">
        <v>46058.0</v>
      </c>
      <c r="C32" s="15" t="s">
        <v>124</v>
      </c>
      <c r="D32" s="15" t="s">
        <v>61</v>
      </c>
      <c r="E32" s="87" t="s">
        <v>127</v>
      </c>
      <c r="F32" s="15" t="s">
        <v>36</v>
      </c>
      <c r="G32" s="17">
        <v>6100.0</v>
      </c>
      <c r="H32" s="17">
        <v>47000.0</v>
      </c>
      <c r="J32" s="90">
        <v>2.0260205E7</v>
      </c>
      <c r="K32" s="90">
        <v>3.0</v>
      </c>
      <c r="L32" s="90">
        <v>6.0</v>
      </c>
      <c r="M32" s="92">
        <v>2.0</v>
      </c>
      <c r="N32" s="90">
        <v>2.0</v>
      </c>
      <c r="O32" s="90">
        <v>1.0</v>
      </c>
      <c r="P32" s="90" t="s">
        <v>104</v>
      </c>
      <c r="Q32" s="90">
        <v>26500.0</v>
      </c>
      <c r="R32" s="102">
        <v>198000.0</v>
      </c>
      <c r="S32" s="90">
        <v>1.0</v>
      </c>
      <c r="U32" s="96" t="str">
        <f t="array" ref="U32">IFERROR(INDEX('T4 DimCity'!$K$6:$K$20,MATCH(K32,'T4 DimCity'!$I$6:$I$20,0)),"?")</f>
        <v>Sindh</v>
      </c>
      <c r="V32" s="96" t="str">
        <f t="array" ref="V32">IFERROR(INDEX('T5 Other Dimensions'!$C$45:$C$48,MATCH(N32,'T5 Other Dimensions'!$B$45:$B$48,0)),"?")</f>
        <v>Rail</v>
      </c>
    </row>
    <row r="33" ht="15.75" customHeight="1">
      <c r="A33" s="9" t="s">
        <v>144</v>
      </c>
      <c r="B33" s="13">
        <v>46059.0</v>
      </c>
      <c r="C33" s="15" t="s">
        <v>129</v>
      </c>
      <c r="D33" s="15" t="s">
        <v>118</v>
      </c>
      <c r="E33" s="87" t="s">
        <v>127</v>
      </c>
      <c r="F33" s="15" t="s">
        <v>56</v>
      </c>
      <c r="G33" s="17">
        <v>7400.0</v>
      </c>
      <c r="H33" s="17">
        <v>83000.0</v>
      </c>
      <c r="J33" s="90">
        <v>2.0260206E7</v>
      </c>
      <c r="K33" s="90">
        <v>3.0</v>
      </c>
      <c r="L33" s="90">
        <v>1.0</v>
      </c>
      <c r="M33" s="92">
        <v>5.0</v>
      </c>
      <c r="N33" s="90">
        <v>2.0</v>
      </c>
      <c r="O33" s="90">
        <v>3.0</v>
      </c>
      <c r="P33" s="90" t="s">
        <v>108</v>
      </c>
      <c r="Q33" s="90">
        <v>31250.0</v>
      </c>
      <c r="R33" s="102">
        <v>276000.0</v>
      </c>
      <c r="S33" s="90">
        <v>1.0</v>
      </c>
      <c r="U33" s="96" t="str">
        <f t="array" ref="U33">IFERROR(INDEX('T4 DimCity'!$K$6:$K$20,MATCH(K33,'T4 DimCity'!$I$6:$I$20,0)),"?")</f>
        <v>Sindh</v>
      </c>
      <c r="V33" s="96" t="str">
        <f t="array" ref="V33">IFERROR(INDEX('T5 Other Dimensions'!$C$45:$C$48,MATCH(N33,'T5 Other Dimensions'!$B$45:$B$48,0)),"?")</f>
        <v>Rail</v>
      </c>
    </row>
    <row r="34" ht="15.75" customHeight="1">
      <c r="A34" s="9" t="s">
        <v>147</v>
      </c>
      <c r="B34" s="13">
        <v>46060.0</v>
      </c>
      <c r="C34" s="15" t="s">
        <v>82</v>
      </c>
      <c r="D34" s="15" t="s">
        <v>151</v>
      </c>
      <c r="E34" s="87" t="s">
        <v>127</v>
      </c>
      <c r="F34" s="15" t="s">
        <v>36</v>
      </c>
      <c r="G34" s="17">
        <v>5900.0</v>
      </c>
      <c r="H34" s="17">
        <v>39000.0</v>
      </c>
      <c r="J34" s="90">
        <v>2.0260204E7</v>
      </c>
      <c r="K34" s="90">
        <v>3.0</v>
      </c>
      <c r="L34" s="90">
        <v>5.0</v>
      </c>
      <c r="M34" s="92">
        <v>11.0</v>
      </c>
      <c r="N34" s="90">
        <v>2.0</v>
      </c>
      <c r="O34" s="90">
        <v>2.0</v>
      </c>
      <c r="P34" s="90" t="s">
        <v>95</v>
      </c>
      <c r="Q34" s="90">
        <v>30000.0</v>
      </c>
      <c r="R34" s="102">
        <v>262000.0</v>
      </c>
      <c r="S34" s="90">
        <v>1.0</v>
      </c>
      <c r="U34" s="96" t="str">
        <f t="array" ref="U34">IFERROR(INDEX('T4 DimCity'!$K$6:$K$20,MATCH(K34,'T4 DimCity'!$I$6:$I$20,0)),"?")</f>
        <v>Sindh</v>
      </c>
      <c r="V34" s="96" t="str">
        <f t="array" ref="V34">IFERROR(INDEX('T5 Other Dimensions'!$C$45:$C$48,MATCH(N34,'T5 Other Dimensions'!$B$45:$B$48,0)),"?")</f>
        <v>Rail</v>
      </c>
    </row>
    <row r="35" ht="15.75" customHeight="1">
      <c r="A35" s="9" t="s">
        <v>156</v>
      </c>
      <c r="B35" s="13">
        <v>46062.0</v>
      </c>
      <c r="C35" s="15" t="s">
        <v>46</v>
      </c>
      <c r="D35" s="15" t="s">
        <v>129</v>
      </c>
      <c r="E35" s="87" t="s">
        <v>127</v>
      </c>
      <c r="F35" s="15" t="s">
        <v>43</v>
      </c>
      <c r="G35" s="17">
        <v>6600.0</v>
      </c>
      <c r="H35" s="17">
        <v>92000.0</v>
      </c>
      <c r="J35" s="90">
        <v>2.0260212E7</v>
      </c>
      <c r="K35" s="90">
        <v>3.0</v>
      </c>
      <c r="L35" s="90">
        <v>6.0</v>
      </c>
      <c r="M35" s="92">
        <v>12.0</v>
      </c>
      <c r="N35" s="90">
        <v>2.0</v>
      </c>
      <c r="O35" s="90">
        <v>1.0</v>
      </c>
      <c r="P35" s="90" t="s">
        <v>120</v>
      </c>
      <c r="Q35" s="90">
        <v>28500.0</v>
      </c>
      <c r="R35" s="102">
        <v>207000.0</v>
      </c>
      <c r="S35" s="90">
        <v>1.0</v>
      </c>
      <c r="U35" s="96" t="str">
        <f t="array" ref="U35">IFERROR(INDEX('T4 DimCity'!$K$6:$K$20,MATCH(K35,'T4 DimCity'!$I$6:$I$20,0)),"?")</f>
        <v>Sindh</v>
      </c>
      <c r="V35" s="96" t="str">
        <f t="array" ref="V35">IFERROR(INDEX('T5 Other Dimensions'!$C$45:$C$48,MATCH(N35,'T5 Other Dimensions'!$B$45:$B$48,0)),"?")</f>
        <v>Rail</v>
      </c>
    </row>
    <row r="36" ht="15.75" customHeight="1">
      <c r="A36" s="9" t="s">
        <v>161</v>
      </c>
      <c r="B36" s="13">
        <v>46063.0</v>
      </c>
      <c r="C36" s="15" t="s">
        <v>100</v>
      </c>
      <c r="D36" s="15" t="s">
        <v>50</v>
      </c>
      <c r="E36" s="87" t="s">
        <v>127</v>
      </c>
      <c r="F36" s="15" t="s">
        <v>36</v>
      </c>
      <c r="G36" s="17">
        <v>6200.0</v>
      </c>
      <c r="H36" s="17">
        <v>44000.0</v>
      </c>
      <c r="J36" s="90">
        <v>2.0260207E7</v>
      </c>
      <c r="K36" s="90">
        <v>3.0</v>
      </c>
      <c r="L36" s="90">
        <v>7.0</v>
      </c>
      <c r="M36" s="92">
        <v>12.0</v>
      </c>
      <c r="N36" s="90">
        <v>2.0</v>
      </c>
      <c r="O36" s="90">
        <v>1.0</v>
      </c>
      <c r="P36" s="90" t="s">
        <v>110</v>
      </c>
      <c r="Q36" s="90">
        <v>29000.0</v>
      </c>
      <c r="R36" s="102">
        <v>334000.0</v>
      </c>
      <c r="S36" s="90">
        <v>1.0</v>
      </c>
      <c r="U36" s="96" t="str">
        <f t="array" ref="U36">IFERROR(INDEX('T4 DimCity'!$K$6:$K$20,MATCH(K36,'T4 DimCity'!$I$6:$I$20,0)),"?")</f>
        <v>Sindh</v>
      </c>
      <c r="V36" s="96" t="str">
        <f t="array" ref="V36">IFERROR(INDEX('T5 Other Dimensions'!$C$45:$C$48,MATCH(N36,'T5 Other Dimensions'!$B$45:$B$48,0)),"?")</f>
        <v>Rail</v>
      </c>
    </row>
    <row r="37" ht="15.75" customHeight="1">
      <c r="A37" s="9" t="s">
        <v>163</v>
      </c>
      <c r="B37" s="13">
        <v>46064.0</v>
      </c>
      <c r="C37" s="15" t="s">
        <v>82</v>
      </c>
      <c r="D37" s="15" t="s">
        <v>166</v>
      </c>
      <c r="E37" s="87" t="s">
        <v>127</v>
      </c>
      <c r="F37" s="15" t="s">
        <v>36</v>
      </c>
      <c r="G37" s="17">
        <v>7000.0</v>
      </c>
      <c r="H37" s="17">
        <v>27000.0</v>
      </c>
      <c r="J37" s="90">
        <v>2.0260211E7</v>
      </c>
      <c r="K37" s="90">
        <v>3.0</v>
      </c>
      <c r="L37" s="90">
        <v>8.0</v>
      </c>
      <c r="M37" s="92">
        <v>17.0</v>
      </c>
      <c r="N37" s="90">
        <v>2.0</v>
      </c>
      <c r="O37" s="90">
        <v>2.0</v>
      </c>
      <c r="P37" s="90" t="s">
        <v>116</v>
      </c>
      <c r="Q37" s="90">
        <v>28250.0</v>
      </c>
      <c r="R37" s="102">
        <v>142000.0</v>
      </c>
      <c r="S37" s="90">
        <v>1.0</v>
      </c>
      <c r="U37" s="96" t="str">
        <f t="array" ref="U37">IFERROR(INDEX('T4 DimCity'!$K$6:$K$20,MATCH(K37,'T4 DimCity'!$I$6:$I$20,0)),"?")</f>
        <v>Sindh</v>
      </c>
      <c r="V37" s="96" t="str">
        <f t="array" ref="V37">IFERROR(INDEX('T5 Other Dimensions'!$C$45:$C$48,MATCH(N37,'T5 Other Dimensions'!$B$45:$B$48,0)),"?")</f>
        <v>Rail</v>
      </c>
    </row>
    <row r="38" ht="15.75" customHeight="1">
      <c r="A38" s="9" t="s">
        <v>170</v>
      </c>
      <c r="B38" s="13">
        <v>46065.0</v>
      </c>
      <c r="C38" s="15" t="s">
        <v>129</v>
      </c>
      <c r="D38" s="15" t="s">
        <v>72</v>
      </c>
      <c r="E38" s="87" t="s">
        <v>127</v>
      </c>
      <c r="F38" s="15" t="s">
        <v>43</v>
      </c>
      <c r="G38" s="17">
        <v>5500.0</v>
      </c>
      <c r="H38" s="17">
        <v>36000.0</v>
      </c>
      <c r="J38" s="90">
        <v>2.0260203E7</v>
      </c>
      <c r="K38" s="90">
        <v>3.0</v>
      </c>
      <c r="L38" s="90">
        <v>12.0</v>
      </c>
      <c r="M38" s="92">
        <v>20.0</v>
      </c>
      <c r="N38" s="90">
        <v>2.0</v>
      </c>
      <c r="O38" s="90">
        <v>1.0</v>
      </c>
      <c r="P38" s="90" t="s">
        <v>86</v>
      </c>
      <c r="Q38" s="90">
        <v>28750.0</v>
      </c>
      <c r="R38" s="102">
        <v>301000.0</v>
      </c>
      <c r="S38" s="90">
        <v>1.0</v>
      </c>
      <c r="U38" s="96" t="str">
        <f t="array" ref="U38">IFERROR(INDEX('T4 DimCity'!$K$6:$K$20,MATCH(K38,'T4 DimCity'!$I$6:$I$20,0)),"?")</f>
        <v>Sindh</v>
      </c>
      <c r="V38" s="96" t="str">
        <f t="array" ref="V38">IFERROR(INDEX('T5 Other Dimensions'!$C$45:$C$48,MATCH(N38,'T5 Other Dimensions'!$B$45:$B$48,0)),"?")</f>
        <v>Rail</v>
      </c>
    </row>
    <row r="39" ht="15.75" customHeight="1">
      <c r="A39" s="9" t="s">
        <v>173</v>
      </c>
      <c r="B39" s="13">
        <v>46066.0</v>
      </c>
      <c r="C39" s="15" t="s">
        <v>91</v>
      </c>
      <c r="D39" s="15" t="s">
        <v>174</v>
      </c>
      <c r="E39" s="87" t="s">
        <v>127</v>
      </c>
      <c r="F39" s="15" t="s">
        <v>36</v>
      </c>
      <c r="G39" s="17">
        <v>5800.0</v>
      </c>
      <c r="H39" s="17">
        <v>45000.0</v>
      </c>
      <c r="J39" s="90">
        <v>2.0260209E7</v>
      </c>
      <c r="K39" s="90">
        <v>3.0</v>
      </c>
      <c r="L39" s="90">
        <v>12.0</v>
      </c>
      <c r="M39" s="92">
        <v>20.0</v>
      </c>
      <c r="N39" s="90">
        <v>2.0</v>
      </c>
      <c r="O39" s="90">
        <v>3.0</v>
      </c>
      <c r="P39" s="90" t="s">
        <v>113</v>
      </c>
      <c r="Q39" s="90">
        <v>27500.0</v>
      </c>
      <c r="R39" s="102">
        <v>289000.0</v>
      </c>
      <c r="S39" s="90">
        <v>1.0</v>
      </c>
      <c r="U39" s="96" t="str">
        <f t="array" ref="U39">IFERROR(INDEX('T4 DimCity'!$K$6:$K$20,MATCH(K39,'T4 DimCity'!$I$6:$I$20,0)),"?")</f>
        <v>Sindh</v>
      </c>
      <c r="V39" s="96" t="str">
        <f t="array" ref="V39">IFERROR(INDEX('T5 Other Dimensions'!$C$45:$C$48,MATCH(N39,'T5 Other Dimensions'!$B$45:$B$48,0)),"?")</f>
        <v>Rail</v>
      </c>
    </row>
    <row r="40" ht="15.75" customHeight="1">
      <c r="P40" s="119" t="s">
        <v>178</v>
      </c>
      <c r="Q40" s="120">
        <f t="shared" ref="Q40:S40" si="1">SUM(Q6:Q39)</f>
        <v>578650</v>
      </c>
      <c r="R40" s="120">
        <f t="shared" si="1"/>
        <v>4808000</v>
      </c>
      <c r="S40" s="121">
        <f t="shared" si="1"/>
        <v>34</v>
      </c>
    </row>
    <row r="41" ht="15.75" customHeight="1"/>
    <row r="42" ht="25.5" customHeight="1">
      <c r="A42" s="27" t="s">
        <v>539</v>
      </c>
      <c r="B42" s="2"/>
      <c r="C42" s="2"/>
      <c r="D42" s="2"/>
      <c r="E42" s="2"/>
      <c r="F42" s="2"/>
      <c r="G42" s="2"/>
      <c r="H42" s="2"/>
      <c r="I42" s="2"/>
      <c r="J42" s="2"/>
      <c r="K42" s="2"/>
      <c r="L42" s="2"/>
      <c r="M42" s="2"/>
      <c r="N42" s="2"/>
      <c r="O42" s="2"/>
      <c r="P42" s="2"/>
      <c r="Q42" s="2"/>
      <c r="R42" s="2"/>
      <c r="S42" s="2"/>
      <c r="T42" s="2"/>
      <c r="U42" s="2"/>
      <c r="V42" s="3"/>
    </row>
    <row r="43" ht="15.75" customHeight="1"/>
    <row r="44" ht="21.75" customHeight="1">
      <c r="A44" s="5" t="s">
        <v>540</v>
      </c>
      <c r="B44" s="2"/>
      <c r="C44" s="2"/>
      <c r="D44" s="2"/>
      <c r="E44" s="2"/>
      <c r="F44" s="2"/>
      <c r="G44" s="2"/>
      <c r="H44" s="2"/>
      <c r="I44" s="2"/>
      <c r="J44" s="2"/>
      <c r="K44" s="2"/>
      <c r="L44" s="2"/>
      <c r="M44" s="2"/>
      <c r="N44" s="2"/>
      <c r="O44" s="2"/>
      <c r="P44" s="2"/>
      <c r="Q44" s="2"/>
      <c r="R44" s="2"/>
      <c r="S44" s="2"/>
      <c r="T44" s="2"/>
      <c r="U44" s="2"/>
      <c r="V44" s="3"/>
    </row>
    <row r="45" ht="25.5" customHeight="1">
      <c r="A45" s="43" t="s">
        <v>541</v>
      </c>
      <c r="B45" s="46"/>
      <c r="C45" s="46"/>
      <c r="D45" s="46"/>
      <c r="E45" s="46"/>
      <c r="F45" s="46"/>
      <c r="G45" s="46"/>
      <c r="H45" s="44"/>
      <c r="J45" s="122" t="s">
        <v>542</v>
      </c>
      <c r="K45" s="46"/>
      <c r="L45" s="46"/>
      <c r="M45" s="46"/>
      <c r="N45" s="46"/>
      <c r="O45" s="46"/>
      <c r="P45" s="46"/>
      <c r="Q45" s="46"/>
      <c r="R45" s="46"/>
      <c r="S45" s="46"/>
      <c r="T45" s="46"/>
      <c r="U45" s="46"/>
      <c r="V45" s="44"/>
    </row>
    <row r="46" ht="60.75" customHeight="1">
      <c r="A46" s="50"/>
      <c r="B46" s="51"/>
      <c r="C46" s="51"/>
      <c r="D46" s="51"/>
      <c r="E46" s="51"/>
      <c r="F46" s="51"/>
      <c r="G46" s="51"/>
      <c r="H46" s="52"/>
      <c r="J46" s="50"/>
      <c r="K46" s="51"/>
      <c r="L46" s="51"/>
      <c r="M46" s="51"/>
      <c r="N46" s="51"/>
      <c r="O46" s="51"/>
      <c r="P46" s="51"/>
      <c r="Q46" s="51"/>
      <c r="R46" s="51"/>
      <c r="S46" s="51"/>
      <c r="T46" s="51"/>
      <c r="U46" s="51"/>
      <c r="V46" s="52"/>
    </row>
    <row r="47" ht="25.5" customHeight="1">
      <c r="A47" s="43" t="s">
        <v>543</v>
      </c>
      <c r="B47" s="46"/>
      <c r="C47" s="46"/>
      <c r="D47" s="46"/>
      <c r="E47" s="46"/>
      <c r="F47" s="46"/>
      <c r="G47" s="46"/>
      <c r="H47" s="44"/>
      <c r="J47" s="49" t="s">
        <v>544</v>
      </c>
      <c r="K47" s="46"/>
      <c r="L47" s="46"/>
      <c r="M47" s="46"/>
      <c r="N47" s="46"/>
      <c r="O47" s="46"/>
      <c r="P47" s="46"/>
      <c r="Q47" s="46"/>
      <c r="R47" s="46"/>
      <c r="S47" s="46"/>
      <c r="T47" s="46"/>
      <c r="U47" s="46"/>
      <c r="V47" s="44"/>
    </row>
    <row r="48" ht="43.5" customHeight="1">
      <c r="A48" s="50"/>
      <c r="B48" s="51"/>
      <c r="C48" s="51"/>
      <c r="D48" s="51"/>
      <c r="E48" s="51"/>
      <c r="F48" s="51"/>
      <c r="G48" s="51"/>
      <c r="H48" s="52"/>
      <c r="J48" s="50"/>
      <c r="K48" s="51"/>
      <c r="L48" s="51"/>
      <c r="M48" s="51"/>
      <c r="N48" s="51"/>
      <c r="O48" s="51"/>
      <c r="P48" s="51"/>
      <c r="Q48" s="51"/>
      <c r="R48" s="51"/>
      <c r="S48" s="51"/>
      <c r="T48" s="51"/>
      <c r="U48" s="51"/>
      <c r="V48" s="52"/>
    </row>
    <row r="49" ht="25.5" customHeight="1">
      <c r="A49" s="43" t="s">
        <v>545</v>
      </c>
      <c r="B49" s="46"/>
      <c r="C49" s="46"/>
      <c r="D49" s="46"/>
      <c r="E49" s="46"/>
      <c r="F49" s="46"/>
      <c r="G49" s="46"/>
      <c r="H49" s="44"/>
      <c r="J49" s="49" t="s">
        <v>546</v>
      </c>
      <c r="K49" s="46"/>
      <c r="L49" s="46"/>
      <c r="M49" s="46"/>
      <c r="N49" s="46"/>
      <c r="O49" s="46"/>
      <c r="P49" s="46"/>
      <c r="Q49" s="46"/>
      <c r="R49" s="46"/>
      <c r="S49" s="46"/>
      <c r="T49" s="46"/>
      <c r="U49" s="46"/>
      <c r="V49" s="44"/>
    </row>
    <row r="50" ht="44.25" customHeight="1">
      <c r="A50" s="50"/>
      <c r="B50" s="51"/>
      <c r="C50" s="51"/>
      <c r="D50" s="51"/>
      <c r="E50" s="51"/>
      <c r="F50" s="51"/>
      <c r="G50" s="51"/>
      <c r="H50" s="52"/>
      <c r="J50" s="50"/>
      <c r="K50" s="51"/>
      <c r="L50" s="51"/>
      <c r="M50" s="51"/>
      <c r="N50" s="51"/>
      <c r="O50" s="51"/>
      <c r="P50" s="51"/>
      <c r="Q50" s="51"/>
      <c r="R50" s="51"/>
      <c r="S50" s="51"/>
      <c r="T50" s="51"/>
      <c r="U50" s="51"/>
      <c r="V50" s="52"/>
    </row>
    <row r="51" ht="15.75" customHeight="1"/>
    <row r="52" ht="25.5" customHeight="1">
      <c r="A52" s="27" t="s">
        <v>547</v>
      </c>
      <c r="B52" s="2"/>
      <c r="C52" s="2"/>
      <c r="D52" s="2"/>
      <c r="E52" s="2"/>
      <c r="F52" s="2"/>
      <c r="G52" s="2"/>
      <c r="H52" s="2"/>
      <c r="I52" s="2"/>
      <c r="J52" s="2"/>
      <c r="K52" s="2"/>
      <c r="L52" s="2"/>
      <c r="M52" s="2"/>
      <c r="N52" s="2"/>
      <c r="O52" s="2"/>
      <c r="P52" s="2"/>
      <c r="Q52" s="2"/>
      <c r="R52" s="2"/>
      <c r="S52" s="2"/>
      <c r="T52" s="2"/>
      <c r="U52" s="2"/>
      <c r="V52" s="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44:V44"/>
    <mergeCell ref="A45:H46"/>
    <mergeCell ref="J45:V46"/>
    <mergeCell ref="A47:H48"/>
    <mergeCell ref="J47:V48"/>
    <mergeCell ref="A49:H50"/>
    <mergeCell ref="J49:V50"/>
    <mergeCell ref="A52:V52"/>
    <mergeCell ref="A1:V1"/>
    <mergeCell ref="A2:V2"/>
    <mergeCell ref="A3:V3"/>
    <mergeCell ref="A4:H4"/>
    <mergeCell ref="J4:S4"/>
    <mergeCell ref="U4:V4"/>
    <mergeCell ref="A42:V4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4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40.0"/>
    <col customWidth="1" min="3" max="4" width="16.0"/>
    <col customWidth="1" min="5" max="5" width="11.0"/>
    <col customWidth="1" min="6" max="6" width="70.0"/>
    <col customWidth="1" min="7" max="26" width="8.71"/>
  </cols>
  <sheetData>
    <row r="1" ht="30.0" customHeight="1">
      <c r="A1" s="1" t="s">
        <v>480</v>
      </c>
      <c r="B1" s="2"/>
      <c r="C1" s="2"/>
      <c r="D1" s="2"/>
      <c r="E1" s="2"/>
      <c r="F1" s="3"/>
    </row>
    <row r="2" ht="30.0" customHeight="1">
      <c r="A2" s="4" t="s">
        <v>481</v>
      </c>
      <c r="B2" s="2"/>
      <c r="C2" s="2"/>
      <c r="D2" s="2"/>
      <c r="E2" s="2"/>
      <c r="F2" s="3"/>
    </row>
    <row r="4" ht="30.0" customHeight="1">
      <c r="A4" s="6" t="s">
        <v>11</v>
      </c>
      <c r="B4" s="6" t="s">
        <v>445</v>
      </c>
      <c r="C4" s="6" t="s">
        <v>446</v>
      </c>
      <c r="D4" s="6" t="s">
        <v>447</v>
      </c>
      <c r="E4" s="6" t="s">
        <v>449</v>
      </c>
      <c r="F4" s="6" t="s">
        <v>486</v>
      </c>
    </row>
    <row r="5" ht="30.0" customHeight="1">
      <c r="A5" s="10">
        <v>1.0</v>
      </c>
      <c r="B5" s="8" t="s">
        <v>487</v>
      </c>
      <c r="C5" s="107">
        <v>34.0</v>
      </c>
      <c r="D5" s="108">
        <f>COUNT('T6 FactShipment'!$J$6:$J$39)</f>
        <v>34</v>
      </c>
      <c r="E5" s="10" t="str">
        <f t="shared" ref="E5:E16" si="1">IF(D5=C5,"✔ pass","✘ fix")</f>
        <v>✔ pass</v>
      </c>
      <c r="F5" s="19" t="s">
        <v>489</v>
      </c>
    </row>
    <row r="6" ht="30.0" customHeight="1">
      <c r="A6" s="10">
        <v>2.0</v>
      </c>
      <c r="B6" s="8" t="s">
        <v>490</v>
      </c>
      <c r="C6" s="107">
        <v>578650.0</v>
      </c>
      <c r="D6" s="108">
        <f>SUM('T6 FactShipment'!$Q$6:$Q$39)</f>
        <v>578650</v>
      </c>
      <c r="E6" s="10" t="str">
        <f t="shared" si="1"/>
        <v>✔ pass</v>
      </c>
      <c r="F6" s="19" t="s">
        <v>491</v>
      </c>
    </row>
    <row r="7" ht="30.0" customHeight="1">
      <c r="A7" s="10">
        <v>3.0</v>
      </c>
      <c r="B7" s="8" t="s">
        <v>492</v>
      </c>
      <c r="C7" s="107">
        <v>4808000.0</v>
      </c>
      <c r="D7" s="108">
        <f>SUM('T6 FactShipment'!$R$6:$R$39)</f>
        <v>4808000</v>
      </c>
      <c r="E7" s="10" t="str">
        <f t="shared" si="1"/>
        <v>✔ pass</v>
      </c>
      <c r="F7" s="19" t="s">
        <v>493</v>
      </c>
    </row>
    <row r="8" ht="30.0" customHeight="1">
      <c r="A8" s="10">
        <v>4.0</v>
      </c>
      <c r="B8" s="8" t="s">
        <v>494</v>
      </c>
      <c r="C8" s="107">
        <v>34.0</v>
      </c>
      <c r="D8" s="108">
        <f>SUM('T6 FactShipment'!$S$6:$S$39)</f>
        <v>34</v>
      </c>
      <c r="E8" s="10" t="str">
        <f t="shared" si="1"/>
        <v>✔ pass</v>
      </c>
      <c r="F8" s="19" t="s">
        <v>495</v>
      </c>
    </row>
    <row r="9" ht="30.0" customHeight="1">
      <c r="A9" s="10">
        <v>5.0</v>
      </c>
      <c r="B9" s="8" t="s">
        <v>496</v>
      </c>
      <c r="C9" s="107">
        <v>34.0</v>
      </c>
      <c r="D9" s="108">
        <f>SUMPRODUCT(('T6 FactShipment'!$P$6:$P$39&lt;&gt;"")/COUNTIF('T6 FactShipment'!$P$6:$P$39,'T6 FactShipment'!$P$6:$P$39&amp;""))</f>
        <v>34</v>
      </c>
      <c r="E9" s="10" t="str">
        <f t="shared" si="1"/>
        <v>✔ pass</v>
      </c>
      <c r="F9" s="19" t="s">
        <v>497</v>
      </c>
    </row>
    <row r="10" ht="30.0" customHeight="1">
      <c r="A10" s="10">
        <v>6.0</v>
      </c>
      <c r="B10" s="8" t="s">
        <v>498</v>
      </c>
      <c r="C10" s="107">
        <v>14.0</v>
      </c>
      <c r="D10" s="108">
        <f>COUNTIF('T4 DimCity'!$I$6:$I$20,"&gt;0")</f>
        <v>14</v>
      </c>
      <c r="E10" s="10" t="str">
        <f t="shared" si="1"/>
        <v>✔ pass</v>
      </c>
      <c r="F10" s="19" t="s">
        <v>499</v>
      </c>
    </row>
    <row r="11" ht="30.0" customHeight="1">
      <c r="A11" s="10">
        <v>7.0</v>
      </c>
      <c r="B11" s="8" t="s">
        <v>500</v>
      </c>
      <c r="C11" s="107">
        <v>20.0</v>
      </c>
      <c r="D11" s="108">
        <f>COUNTIF('T5 Other Dimensions'!$B$10:$B$30,"&gt;0")</f>
        <v>20</v>
      </c>
      <c r="E11" s="10" t="str">
        <f t="shared" si="1"/>
        <v>✔ pass</v>
      </c>
      <c r="F11" s="19" t="s">
        <v>501</v>
      </c>
    </row>
    <row r="12" ht="30.0" customHeight="1">
      <c r="A12" s="10">
        <v>8.0</v>
      </c>
      <c r="B12" s="8" t="s">
        <v>502</v>
      </c>
      <c r="C12" s="107">
        <v>28.0</v>
      </c>
      <c r="D12" s="108">
        <f>COUNTA('T5 Other Dimensions'!$C$53:$C$80)</f>
        <v>28</v>
      </c>
      <c r="E12" s="10" t="str">
        <f t="shared" si="1"/>
        <v>✔ pass</v>
      </c>
      <c r="F12" s="19" t="s">
        <v>503</v>
      </c>
    </row>
    <row r="13" ht="30.0" customHeight="1">
      <c r="A13" s="10">
        <v>9.0</v>
      </c>
      <c r="B13" s="8" t="s">
        <v>504</v>
      </c>
      <c r="C13" s="107">
        <v>169000.0</v>
      </c>
      <c r="D13" s="108">
        <f>SUMIFS('T6 FactShipment'!$Q$6:$Q$39,'T6 FactShipment'!$U$6:$U$39,"Sindh",'T6 FactShipment'!$V$6:$V$39,"Marine")</f>
        <v>169000</v>
      </c>
      <c r="E13" s="10" t="str">
        <f t="shared" si="1"/>
        <v>✔ pass</v>
      </c>
      <c r="F13" s="19" t="s">
        <v>505</v>
      </c>
    </row>
    <row r="14" ht="30.0" customHeight="1">
      <c r="A14" s="10">
        <v>10.0</v>
      </c>
      <c r="B14" s="8" t="s">
        <v>506</v>
      </c>
      <c r="C14" s="107">
        <v>44100.0</v>
      </c>
      <c r="D14" s="108">
        <f>SUMIFS('T6 FactShipment'!$Q$6:$Q$39,'T6 FactShipment'!$U$6:$U$39,"Punjab",'T6 FactShipment'!$V$6:$V$39,"Road")</f>
        <v>44100</v>
      </c>
      <c r="E14" s="10" t="str">
        <f t="shared" si="1"/>
        <v>✔ pass</v>
      </c>
      <c r="F14" s="19" t="s">
        <v>507</v>
      </c>
    </row>
    <row r="15" ht="30.0" customHeight="1">
      <c r="A15" s="10">
        <v>11.0</v>
      </c>
      <c r="B15" s="8" t="s">
        <v>508</v>
      </c>
      <c r="C15" s="107">
        <v>484350.0</v>
      </c>
      <c r="D15" s="108">
        <f>SUMIFS('T6 FactShipment'!$Q$6:$Q$39,'T6 FactShipment'!$U$6:$U$39,"Sindh")</f>
        <v>484350</v>
      </c>
      <c r="E15" s="10" t="str">
        <f t="shared" si="1"/>
        <v>✔ pass</v>
      </c>
      <c r="F15" s="19" t="s">
        <v>509</v>
      </c>
    </row>
    <row r="16" ht="30.0" customHeight="1">
      <c r="A16" s="10">
        <v>12.0</v>
      </c>
      <c r="B16" s="8" t="s">
        <v>510</v>
      </c>
      <c r="C16" s="107">
        <v>0.0</v>
      </c>
      <c r="D16" s="108">
        <f>COUNTIF('T6 FactShipment'!$K$6:$K$39,-1)+COUNTIF('T6 FactShipment'!$L$6:$L$39,-1)+COUNTIF('T6 FactShipment'!$M$6:$M$39,-1)+COUNTIF('T6 FactShipment'!$N$6:$N$39,-1)+COUNTIF('T6 FactShipment'!$O$6:$O$39,-1)</f>
        <v>0</v>
      </c>
      <c r="E16" s="10" t="str">
        <f t="shared" si="1"/>
        <v>✔ pass</v>
      </c>
      <c r="F16" s="19" t="s">
        <v>511</v>
      </c>
    </row>
    <row r="17" ht="30.0" customHeight="1">
      <c r="A17" s="10">
        <v>13.0</v>
      </c>
      <c r="B17" s="8" t="s">
        <v>512</v>
      </c>
      <c r="C17" s="109">
        <v>8.31</v>
      </c>
      <c r="D17" s="110">
        <f>SUM('T6 FactShipment'!$R$6:$R$39)/SUM('T6 FactShipment'!$Q$6:$Q$39)</f>
        <v>8.308995075</v>
      </c>
      <c r="E17" s="10" t="str">
        <f>IF(ABS(D17-C17)&lt;=0.005,"✔ pass","✘ fix")</f>
        <v>✔ pass</v>
      </c>
      <c r="F17" s="19" t="s">
        <v>513</v>
      </c>
    </row>
    <row r="19">
      <c r="B19" s="111" t="s">
        <v>514</v>
      </c>
      <c r="C19" s="112" t="str">
        <f>COUNTIF(E5:E17,"✔*")&amp;" / 13"</f>
        <v>13 / 13</v>
      </c>
      <c r="D19" s="112" t="str">
        <f>IF(COUNTIF(E5:E17,"✔*")=13,"✔ SUBMIT","✘ NOT YET")</f>
        <v>✔ SUBMIT</v>
      </c>
      <c r="F19" s="19" t="s">
        <v>515</v>
      </c>
    </row>
    <row r="21" ht="21.75" customHeight="1">
      <c r="A21" s="5" t="s">
        <v>517</v>
      </c>
      <c r="B21" s="2"/>
      <c r="C21" s="2"/>
      <c r="D21" s="2"/>
      <c r="E21" s="2"/>
      <c r="F21" s="3"/>
    </row>
    <row r="22" ht="15.75" customHeight="1">
      <c r="A22" s="71" t="s">
        <v>518</v>
      </c>
    </row>
    <row r="23" ht="30.0" customHeight="1">
      <c r="A23" s="6"/>
      <c r="B23" s="6" t="s">
        <v>519</v>
      </c>
      <c r="C23" s="6" t="s">
        <v>38</v>
      </c>
      <c r="D23" s="6" t="s">
        <v>85</v>
      </c>
      <c r="E23" s="6" t="s">
        <v>127</v>
      </c>
      <c r="F23" s="6" t="s">
        <v>520</v>
      </c>
    </row>
    <row r="24" ht="15.75" customHeight="1">
      <c r="B24" s="8" t="s">
        <v>331</v>
      </c>
      <c r="C24" s="108">
        <f>SUMIFS('T6 FactShipment'!$Q$6:$Q$39,'T6 FactShipment'!$U$6:$U$39,$B24,'T6 FactShipment'!$V$6:$V$39,"Marine")</f>
        <v>169000</v>
      </c>
      <c r="D24" s="108">
        <f>SUMIFS('T6 FactShipment'!$Q$6:$Q$39,'T6 FactShipment'!$U$6:$U$39,$B24,'T6 FactShipment'!$V$6:$V$39,"Rail")</f>
        <v>295250</v>
      </c>
      <c r="E24" s="108">
        <f>SUMIFS('T6 FactShipment'!$Q$6:$Q$39,'T6 FactShipment'!$U$6:$U$39,$B24,'T6 FactShipment'!$V$6:$V$39,"Road")</f>
        <v>20100</v>
      </c>
      <c r="F24" s="107">
        <f t="shared" ref="F24:F28" si="2">SUM(C24:E24)</f>
        <v>484350</v>
      </c>
    </row>
    <row r="25" ht="15.75" customHeight="1">
      <c r="B25" s="8" t="s">
        <v>342</v>
      </c>
      <c r="C25" s="108">
        <f>SUMIFS('T6 FactShipment'!$Q$6:$Q$39,'T6 FactShipment'!$U$6:$U$39,$B25,'T6 FactShipment'!$V$6:$V$39,"Marine")</f>
        <v>0</v>
      </c>
      <c r="D25" s="108">
        <f>SUMIFS('T6 FactShipment'!$Q$6:$Q$39,'T6 FactShipment'!$U$6:$U$39,$B25,'T6 FactShipment'!$V$6:$V$39,"Rail")</f>
        <v>0</v>
      </c>
      <c r="E25" s="108">
        <f>SUMIFS('T6 FactShipment'!$Q$6:$Q$39,'T6 FactShipment'!$U$6:$U$39,$B25,'T6 FactShipment'!$V$6:$V$39,"Road")</f>
        <v>44100</v>
      </c>
      <c r="F25" s="107">
        <f t="shared" si="2"/>
        <v>44100</v>
      </c>
    </row>
    <row r="26" ht="15.75" customHeight="1">
      <c r="B26" s="8" t="s">
        <v>366</v>
      </c>
      <c r="C26" s="108">
        <f>SUMIFS('T6 FactShipment'!$Q$6:$Q$39,'T6 FactShipment'!$U$6:$U$39,$B26,'T6 FactShipment'!$V$6:$V$39,"Marine")</f>
        <v>37500</v>
      </c>
      <c r="D26" s="108">
        <f>SUMIFS('T6 FactShipment'!$Q$6:$Q$39,'T6 FactShipment'!$U$6:$U$39,$B26,'T6 FactShipment'!$V$6:$V$39,"Rail")</f>
        <v>0</v>
      </c>
      <c r="E26" s="108">
        <f>SUMIFS('T6 FactShipment'!$Q$6:$Q$39,'T6 FactShipment'!$U$6:$U$39,$B26,'T6 FactShipment'!$V$6:$V$39,"Road")</f>
        <v>6600</v>
      </c>
      <c r="F26" s="107">
        <f t="shared" si="2"/>
        <v>44100</v>
      </c>
    </row>
    <row r="27" ht="15.75" customHeight="1">
      <c r="B27" s="8" t="s">
        <v>395</v>
      </c>
      <c r="C27" s="108">
        <f>SUMIFS('T6 FactShipment'!$Q$6:$Q$39,'T6 FactShipment'!$U$6:$U$39,$B27,'T6 FactShipment'!$V$6:$V$39,"Marine")</f>
        <v>0</v>
      </c>
      <c r="D27" s="108">
        <f>SUMIFS('T6 FactShipment'!$Q$6:$Q$39,'T6 FactShipment'!$U$6:$U$39,$B27,'T6 FactShipment'!$V$6:$V$39,"Rail")</f>
        <v>0</v>
      </c>
      <c r="E27" s="108">
        <f>SUMIFS('T6 FactShipment'!$Q$6:$Q$39,'T6 FactShipment'!$U$6:$U$39,$B27,'T6 FactShipment'!$V$6:$V$39,"Road")</f>
        <v>0</v>
      </c>
      <c r="F27" s="107">
        <f t="shared" si="2"/>
        <v>0</v>
      </c>
    </row>
    <row r="28" ht="15.75" customHeight="1">
      <c r="B28" s="8" t="s">
        <v>357</v>
      </c>
      <c r="C28" s="108">
        <f>SUMIFS('T6 FactShipment'!$Q$6:$Q$39,'T6 FactShipment'!$U$6:$U$39,$B28,'T6 FactShipment'!$V$6:$V$39,"Marine")</f>
        <v>0</v>
      </c>
      <c r="D28" s="108">
        <f>SUMIFS('T6 FactShipment'!$Q$6:$Q$39,'T6 FactShipment'!$U$6:$U$39,$B28,'T6 FactShipment'!$V$6:$V$39,"Rail")</f>
        <v>0</v>
      </c>
      <c r="E28" s="108">
        <f>SUMIFS('T6 FactShipment'!$Q$6:$Q$39,'T6 FactShipment'!$U$6:$U$39,$B28,'T6 FactShipment'!$V$6:$V$39,"Road")</f>
        <v>6100</v>
      </c>
      <c r="F28" s="107">
        <f t="shared" si="2"/>
        <v>6100</v>
      </c>
    </row>
    <row r="29" ht="15.75" customHeight="1">
      <c r="B29" s="22" t="s">
        <v>532</v>
      </c>
      <c r="C29" s="107">
        <f t="shared" ref="C29:F29" si="3">SUM(C24:C28)</f>
        <v>206500</v>
      </c>
      <c r="D29" s="107">
        <f t="shared" si="3"/>
        <v>295250</v>
      </c>
      <c r="E29" s="107">
        <f t="shared" si="3"/>
        <v>76900</v>
      </c>
      <c r="F29" s="107">
        <f t="shared" si="3"/>
        <v>578650</v>
      </c>
    </row>
    <row r="30" ht="15.75" customHeight="1">
      <c r="B30" s="117" t="s">
        <v>533</v>
      </c>
      <c r="F30" s="10" t="str">
        <f>IF(F29=578650,"✔ pass","✘ fix")</f>
        <v>✔ pass</v>
      </c>
    </row>
    <row r="31" ht="25.5" customHeight="1">
      <c r="A31" s="27" t="s">
        <v>534</v>
      </c>
      <c r="B31" s="2"/>
      <c r="C31" s="2"/>
      <c r="D31" s="2"/>
      <c r="E31" s="2"/>
      <c r="F31" s="3"/>
    </row>
    <row r="32" ht="15.75" customHeight="1"/>
    <row r="33" ht="21.75" customHeight="1">
      <c r="A33" s="5" t="s">
        <v>535</v>
      </c>
      <c r="B33" s="2"/>
      <c r="C33" s="2"/>
      <c r="D33" s="2"/>
      <c r="E33" s="2"/>
      <c r="F33" s="3"/>
    </row>
    <row r="34" ht="24.0" customHeight="1">
      <c r="A34" s="43" t="s">
        <v>536</v>
      </c>
      <c r="B34" s="44"/>
      <c r="C34" s="105" t="s">
        <v>537</v>
      </c>
      <c r="D34" s="46"/>
      <c r="E34" s="46"/>
      <c r="F34" s="44"/>
    </row>
    <row r="35" ht="24.0" customHeight="1">
      <c r="A35" s="47"/>
      <c r="B35" s="48"/>
      <c r="C35" s="47"/>
      <c r="F35" s="48"/>
    </row>
    <row r="36" ht="43.5" customHeight="1">
      <c r="A36" s="50"/>
      <c r="B36" s="52"/>
      <c r="C36" s="50"/>
      <c r="D36" s="51"/>
      <c r="E36" s="51"/>
      <c r="F36" s="52"/>
    </row>
    <row r="37" ht="15.75" customHeight="1"/>
    <row r="38" ht="25.5" customHeight="1">
      <c r="A38" s="27" t="s">
        <v>538</v>
      </c>
      <c r="B38" s="2"/>
      <c r="C38" s="2"/>
      <c r="D38" s="2"/>
      <c r="E38" s="2"/>
      <c r="F38" s="3"/>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34:F36"/>
    <mergeCell ref="A38:F38"/>
    <mergeCell ref="A1:F1"/>
    <mergeCell ref="A2:F2"/>
    <mergeCell ref="A21:F21"/>
    <mergeCell ref="A22:F22"/>
    <mergeCell ref="A31:F31"/>
    <mergeCell ref="A33:F33"/>
    <mergeCell ref="A34:B36"/>
  </mergeCells>
  <printOptions/>
  <pageMargins bottom="1.0" footer="0.0" header="0.0" left="0.75" right="0.75" top="1.0"/>
  <pageSetup orientation="landscape"/>
  <drawing r:id="rId1"/>
</worksheet>
</file>