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Marine_Raw" sheetId="2" r:id="rId6"/>
    <sheet state="visible" name="Rail_Raw" sheetId="3" r:id="rId7"/>
    <sheet state="visible" name="Road_Raw" sheetId="4" r:id="rId8"/>
    <sheet state="visible" name="T1 Detective" sheetId="5" r:id="rId9"/>
    <sheet state="visible" name="T2 Stovepipes" sheetId="6" r:id="rId10"/>
    <sheet state="visible" name="T3a Marine_Stg" sheetId="7" r:id="rId11"/>
    <sheet state="visible" name="T3b Rail_Stg" sheetId="8" r:id="rId12"/>
    <sheet state="visible" name="T3c Road_Stg" sheetId="9" r:id="rId13"/>
    <sheet state="visible" name="T4 Reconcile" sheetId="10" r:id="rId14"/>
    <sheet state="visible" name="T5 Lineage" sheetId="11" r:id="rId15"/>
    <sheet state="visible" name="T6 Bus Matrix" sheetId="12" r:id="rId16"/>
    <sheet state="visible" name="T7 Inmon or Kimball"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Hard-coded: the official total from the lab files (slides 17 &amp; 39). Task 4 proves it.</t>
      </text>
    </comment>
  </commentList>
</comments>
</file>

<file path=xl/sharedStrings.xml><?xml version="1.0" encoding="utf-8"?>
<sst xmlns="http://schemas.openxmlformats.org/spreadsheetml/2006/main" count="794" uniqueCount="422">
  <si>
    <t>Pakistan Railways Freight — Consignment Register</t>
  </si>
  <si>
    <t>PakFreight Data Detective — Week 2 Activity</t>
  </si>
  <si>
    <t>trip_id</t>
  </si>
  <si>
    <t>Shipment_ID</t>
  </si>
  <si>
    <t>Data Warehousing &amp; BI · Week 2 — DW Lifecycle &amp; Architecture. PakFreight has three shipment systems (Marine, Rail, Road). Every department reports a different total tonnage. Your team will find out why, fix it in a staging area, and prove the one true number.</t>
  </si>
  <si>
    <t>Ship_Date</t>
  </si>
  <si>
    <t>Origin_Port</t>
  </si>
  <si>
    <t>Dest_Port</t>
  </si>
  <si>
    <t>Weight_KG</t>
  </si>
  <si>
    <t>Cost_PKR</t>
  </si>
  <si>
    <t>How to work</t>
  </si>
  <si>
    <t>Status</t>
  </si>
  <si>
    <t>MR-1001</t>
  </si>
  <si>
    <t>Period: February 2026   |   Weights in TONS</t>
  </si>
  <si>
    <t>01/02/2026</t>
  </si>
  <si>
    <t>Karachi Port</t>
  </si>
  <si>
    <t>Lahore Dry Port</t>
  </si>
  <si>
    <t>•</t>
  </si>
  <si>
    <t>Work in teams of 3. Name one person each: Operations, Finance, Sales (needed in Task 2).</t>
  </si>
  <si>
    <t>Consignment No</t>
  </si>
  <si>
    <t>Dispatch Date</t>
  </si>
  <si>
    <t>DELIVERED</t>
  </si>
  <si>
    <t>From Station</t>
  </si>
  <si>
    <t>To Station</t>
  </si>
  <si>
    <t>Do the tasks in order — each tab is named T1, T2 … The minutes are a guide; your teacher will call time.</t>
  </si>
  <si>
    <t>trip_date</t>
  </si>
  <si>
    <t>from_city</t>
  </si>
  <si>
    <t>to_city</t>
  </si>
  <si>
    <t>Only type in YELLOW cells. GREY cells are raw data as received — never edit them (that is the point of staging!).</t>
  </si>
  <si>
    <t>weight_kg</t>
  </si>
  <si>
    <t>cost_pkr</t>
  </si>
  <si>
    <t>Task 4 checks your work automatically: every ✘ means something in Task 3 is still wrong.</t>
  </si>
  <si>
    <t>status</t>
  </si>
  <si>
    <t>Task 8 (draw Inmon vs Kimball) is done on paper — see the slide 'Your Turn: Draw Both Architectures'.</t>
  </si>
  <si>
    <t>Save the file as Team_&lt;number&gt;.xlsx and submit it with a photo of your drawing.</t>
  </si>
  <si>
    <t>Plan</t>
  </si>
  <si>
    <t>rd-501</t>
  </si>
  <si>
    <t>#</t>
  </si>
  <si>
    <t>2026-02-02</t>
  </si>
  <si>
    <t>Lahore</t>
  </si>
  <si>
    <t>Islamabad</t>
  </si>
  <si>
    <t>Task</t>
  </si>
  <si>
    <t>Tab</t>
  </si>
  <si>
    <t>delivered</t>
  </si>
  <si>
    <t>60-min class</t>
  </si>
  <si>
    <t>rd-502</t>
  </si>
  <si>
    <t>Karachi</t>
  </si>
  <si>
    <t>Hyderabad</t>
  </si>
  <si>
    <t>45-min class</t>
  </si>
  <si>
    <t>MR-1002</t>
  </si>
  <si>
    <t>Concept from the slides</t>
  </si>
  <si>
    <t>02/02/2026</t>
  </si>
  <si>
    <t>Port Qasim</t>
  </si>
  <si>
    <t>Faisalabad Dry Port</t>
  </si>
  <si>
    <t>rd-503</t>
  </si>
  <si>
    <t>2026-02-03</t>
  </si>
  <si>
    <t xml:space="preserve">DELIVERED </t>
  </si>
  <si>
    <t>Faisalabad</t>
  </si>
  <si>
    <t>MR-1003</t>
  </si>
  <si>
    <t xml:space="preserve">in transit </t>
  </si>
  <si>
    <t>03/02/2026</t>
  </si>
  <si>
    <t>rd-504</t>
  </si>
  <si>
    <t>2026-02-04</t>
  </si>
  <si>
    <t>Multan</t>
  </si>
  <si>
    <t>0</t>
  </si>
  <si>
    <t>Weight (Tons)</t>
  </si>
  <si>
    <t>IN TRANSIT</t>
  </si>
  <si>
    <t>MR-1004</t>
  </si>
  <si>
    <t>04/02/2026</t>
  </si>
  <si>
    <t>Teacher intro: the '3 different totals' problem</t>
  </si>
  <si>
    <t>Gwadar Port</t>
  </si>
  <si>
    <t>Quetta</t>
  </si>
  <si>
    <t>rd-505</t>
  </si>
  <si>
    <t>2026-02-05</t>
  </si>
  <si>
    <t>—</t>
  </si>
  <si>
    <t>Peshawar</t>
  </si>
  <si>
    <t>MR-1005</t>
  </si>
  <si>
    <t>Slide 17 stovepipes</t>
  </si>
  <si>
    <t>05/02/2026</t>
  </si>
  <si>
    <t>1</t>
  </si>
  <si>
    <t>Freight Charges (PKR)</t>
  </si>
  <si>
    <t>Data Detective — log every problem in the raw files</t>
  </si>
  <si>
    <t xml:space="preserve"> DELIVERED</t>
  </si>
  <si>
    <t>T1 Detective</t>
  </si>
  <si>
    <t>Staging: profile before load</t>
  </si>
  <si>
    <t>MR-1006</t>
  </si>
  <si>
    <t>06/02/2026</t>
  </si>
  <si>
    <t>2</t>
  </si>
  <si>
    <t>Stovepipe Game — each department computes its own total</t>
  </si>
  <si>
    <t>T2 Stovepipes</t>
  </si>
  <si>
    <t>rd-506</t>
  </si>
  <si>
    <t>2026-02-06</t>
  </si>
  <si>
    <t>Independent vs dependent marts</t>
  </si>
  <si>
    <t>Sukkur</t>
  </si>
  <si>
    <t>Sialkot Dry Port</t>
  </si>
  <si>
    <t>3</t>
  </si>
  <si>
    <t>Clean the 3 files in staging with formulas</t>
  </si>
  <si>
    <t>T3a / T3b / T3c</t>
  </si>
  <si>
    <t>Staging transformations</t>
  </si>
  <si>
    <t>delayed</t>
  </si>
  <si>
    <t>DELAYED</t>
  </si>
  <si>
    <t>Karachi Cantt</t>
  </si>
  <si>
    <t>MR-1007</t>
  </si>
  <si>
    <t>07/02/2026</t>
  </si>
  <si>
    <t>4</t>
  </si>
  <si>
    <t>rd-507</t>
  </si>
  <si>
    <t>2026-02-07</t>
  </si>
  <si>
    <t>MR-1008</t>
  </si>
  <si>
    <t>09/02/2026</t>
  </si>
  <si>
    <t>Reconcile — prove 34 rows and 578,650 kg</t>
  </si>
  <si>
    <t>Delivered</t>
  </si>
  <si>
    <t>Sialkot</t>
  </si>
  <si>
    <t>T4 Reconcile</t>
  </si>
  <si>
    <t xml:space="preserve">IN TRANSIT </t>
  </si>
  <si>
    <t>Rawalpindi</t>
  </si>
  <si>
    <t>MR-1009</t>
  </si>
  <si>
    <t>Validate before you trust</t>
  </si>
  <si>
    <t>10/02/2026</t>
  </si>
  <si>
    <t>Pipri Marshalling Yard</t>
  </si>
  <si>
    <t>5</t>
  </si>
  <si>
    <t>Trace the lineage of one number</t>
  </si>
  <si>
    <t>T5 Lineage</t>
  </si>
  <si>
    <t>rd-508</t>
  </si>
  <si>
    <t>MR-1010</t>
  </si>
  <si>
    <t>2026-02-09</t>
  </si>
  <si>
    <t>11/02/2026</t>
  </si>
  <si>
    <t>Lineage (slide 29) — homework in 45-min version</t>
  </si>
  <si>
    <t>6</t>
  </si>
  <si>
    <t>Islamabad Dry Port</t>
  </si>
  <si>
    <t>Kimball Bus Matrix</t>
  </si>
  <si>
    <t>in transit</t>
  </si>
  <si>
    <t>rd-509</t>
  </si>
  <si>
    <t>MR-1011</t>
  </si>
  <si>
    <t>T6 Bus Matrix</t>
  </si>
  <si>
    <t>12/02/2026</t>
  </si>
  <si>
    <t>2026-02-10</t>
  </si>
  <si>
    <t>In transit</t>
  </si>
  <si>
    <t>Conformed dimensions</t>
  </si>
  <si>
    <t>7</t>
  </si>
  <si>
    <t>Inmon or Kimball? — 10 scenarios</t>
  </si>
  <si>
    <t>T7 Inmon or Kimball</t>
  </si>
  <si>
    <t>Top-down vs bottom-up</t>
  </si>
  <si>
    <t>8</t>
  </si>
  <si>
    <t>Draw both architectures (paper)</t>
  </si>
  <si>
    <t>Slide 20c</t>
  </si>
  <si>
    <t>Inmon CIF vs Kimball bus</t>
  </si>
  <si>
    <t xml:space="preserve">delivered </t>
  </si>
  <si>
    <t>rd-510</t>
  </si>
  <si>
    <t>Total minutes</t>
  </si>
  <si>
    <t>2026-02-11</t>
  </si>
  <si>
    <t>Gujranwala</t>
  </si>
  <si>
    <t xml:space="preserve"> Delivered</t>
  </si>
  <si>
    <t>rd-511</t>
  </si>
  <si>
    <t>2026-02-12</t>
  </si>
  <si>
    <t xml:space="preserve"> in transit</t>
  </si>
  <si>
    <t>rd-512</t>
  </si>
  <si>
    <t>Peshawar Cantt</t>
  </si>
  <si>
    <t>2026-02-13</t>
  </si>
  <si>
    <t xml:space="preserve">Delivered </t>
  </si>
  <si>
    <t>Abbottabad</t>
  </si>
  <si>
    <t>MR-1012</t>
  </si>
  <si>
    <t>13/02/2026</t>
  </si>
  <si>
    <t>TOTAL</t>
  </si>
  <si>
    <t>in Transit</t>
  </si>
  <si>
    <t>Colour legend</t>
  </si>
  <si>
    <t>You type here</t>
  </si>
  <si>
    <t>Raw data — do not edit</t>
  </si>
  <si>
    <t>✔ check passed</t>
  </si>
  <si>
    <t>✘ check failed — go back and fix</t>
  </si>
  <si>
    <t>The data contract (target schema)</t>
  </si>
  <si>
    <t>Column</t>
  </si>
  <si>
    <t>Type</t>
  </si>
  <si>
    <t>Rule</t>
  </si>
  <si>
    <t>Example</t>
  </si>
  <si>
    <t>ShipmentID</t>
  </si>
  <si>
    <t>Text</t>
  </si>
  <si>
    <t>Not blank · unique · prefix MR- / RL- / RD-</t>
  </si>
  <si>
    <t>RL-45012</t>
  </si>
  <si>
    <t>ShipDate</t>
  </si>
  <si>
    <t>Date</t>
  </si>
  <si>
    <t>Real date (dd-mmm-yyyy)</t>
  </si>
  <si>
    <t>03-Feb-2026</t>
  </si>
  <si>
    <t>Origin</t>
  </si>
  <si>
    <t>Destination</t>
  </si>
  <si>
    <t>WeightKG</t>
  </si>
  <si>
    <t>Number</t>
  </si>
  <si>
    <t>&gt; 0 · kilograms only</t>
  </si>
  <si>
    <t>32,500</t>
  </si>
  <si>
    <t>CostPKR</t>
  </si>
  <si>
    <t>&gt; 0</t>
  </si>
  <si>
    <t>285,000</t>
  </si>
  <si>
    <t>Exactly one of: Delivered · In Transit · Delayed</t>
  </si>
  <si>
    <t>SourceSystem</t>
  </si>
  <si>
    <t>Marine · Rail · Road (audit column)</t>
  </si>
  <si>
    <t>Rail</t>
  </si>
  <si>
    <t>Task 2 · The Stovepipe Game (7 min)</t>
  </si>
  <si>
    <t>Task 3a · Stage the Marine file</t>
  </si>
  <si>
    <t>Each team member plays one department that built its OWN mini-warehouse with its OWN rules. Write a formula in the yellow cell that adds up the raw sheets following ONLY your department's rule. Then compare.</t>
  </si>
  <si>
    <t>Write one formula in the first yellow cell of each column, then drag it down. Columns that are already filled are simple copies.</t>
  </si>
  <si>
    <t>RAW — copied exactly as received (grey, don't edit)</t>
  </si>
  <si>
    <t>Department</t>
  </si>
  <si>
    <t>Their (flawed) rule</t>
  </si>
  <si>
    <t>Your formula → total kg</t>
  </si>
  <si>
    <t>Tonnes</t>
  </si>
  <si>
    <t>Difference from truth (t)</t>
  </si>
  <si>
    <t>Hint</t>
  </si>
  <si>
    <t>Operations</t>
  </si>
  <si>
    <t>STAGED — contract columns (your formulas in yellow)</t>
  </si>
  <si>
    <t>Task 1 · Data Detective (8 min)</t>
  </si>
  <si>
    <t>Removed the duplicate rd-505 ✔ but forgot to remove the TOTAL row ✘. Rail converted to kg ✔.</t>
  </si>
  <si>
    <t>Open Marine_Raw, Rail_Raw and Road_Raw. Find at least 10 problems that would break or silently corrupt a warehouse load. For each one say what would go wrong and in which tier you would fix it (Source / Staging / Storage / Presentation). The first row is an example.</t>
  </si>
  <si>
    <t>Source file</t>
  </si>
  <si>
    <t>Where (column / row)</t>
  </si>
  <si>
    <t>Problem you found</t>
  </si>
  <si>
    <t>What goes wrong if loaded as-is?</t>
  </si>
  <si>
    <t>Fix in which tier?</t>
  </si>
  <si>
    <t>How would you fix it?</t>
  </si>
  <si>
    <t>Hints</t>
  </si>
  <si>
    <t>Marine</t>
  </si>
  <si>
    <t>Ship_Date (all rows)</t>
  </si>
  <si>
    <t>Dates are text in dd/mm/yyyy</t>
  </si>
  <si>
    <t>A US-locale tool reads 03/02 as 2 March; 13/02/2026 becomes an error</t>
  </si>
  <si>
    <t>Staging</t>
  </si>
  <si>
    <t>Convert to a real date using the UK locale</t>
  </si>
  <si>
    <t>Header Metadata / Weight (Tons)</t>
  </si>
  <si>
    <t>Unit Mismatch: Rail measures weight in metric tons (e.g., 32.50), while Marine and Road measure weight in kg.</t>
  </si>
  <si>
    <t>Reports will treat 32.50 kg instead of 32,500 kg, undercounting total rail weight by 1,000x (leading to Finance's wrong answer).</t>
  </si>
  <si>
    <t>Staging (ETL)</t>
  </si>
  <si>
    <t>Multiply the Weight (Tons) column by 1,000 using a formula to convert all values to kilograms.</t>
  </si>
  <si>
    <t>Road</t>
  </si>
  <si>
    <t>Row 18 / TOTAL</t>
  </si>
  <si>
    <t>Non-Data Row: A summary TOTAL row (83,000 weight and 652,000 cost) is embedded at the bottom of the raw file.</t>
  </si>
  <si>
    <t>Summing the column double-counts all road records, inflating total freight weight by 83 tonnes (leading to Operations' wrong answer).</t>
  </si>
  <si>
    <t>Task 3b · Stage the Rail file</t>
  </si>
  <si>
    <t>The two title rows were already removed for you (in Power BI you'd do it with Remove Top Rows). Fill the yellow columns.</t>
  </si>
  <si>
    <t>Filter out and drop rows where trip_id equals "TOTAL" or where trip_id is not a valid transaction ID.</t>
  </si>
  <si>
    <t>Rows 6 &amp; 7 / rd-505</t>
  </si>
  <si>
    <t>Duplicate Row: Record rd-505 (Islamabad to Peshawar, 6,100 kg) is listed twice with identical data.</t>
  </si>
  <si>
    <t>Artificially inflates total shipment counts and overcounts weight by 6,100 kg (leading to Sales' wrong answer).</t>
  </si>
  <si>
    <t>Apply a deduplication transformation or drop duplicate rows based on trip_id.</t>
  </si>
  <si>
    <t>Row 16</t>
  </si>
  <si>
    <t>Blank Row: An entirely empty row exists between rd-512 and the TOTAL row.</t>
  </si>
  <si>
    <t>Causes null/missing value errors, breaks row counts, or introduces unwanted blank entries in reporting visualizations.</t>
  </si>
  <si>
    <t>Filter out and drop completely empty rows before loading data into staging tables.</t>
  </si>
  <si>
    <t>SUM the whole Road column (TOTAL included) then subtract the duplicate row</t>
  </si>
  <si>
    <t>Marine vs Road vs Rail</t>
  </si>
  <si>
    <t>Ship_Date / Dispatch Date / trip_date</t>
  </si>
  <si>
    <t>Inconsistent Date Formats: Marine uses DD/MM/YYYY (01/02/2026), Rail uses DD-MMM-YYYY (03-Feb-2026), and Road uses YYYY-MM-DD (2026-02-02).</t>
  </si>
  <si>
    <t>Date filters, monthly aggregations, and date dimensions across different modes will fail or produce conversion errors.</t>
  </si>
  <si>
    <t>Cast and standardize all date columns into standard ANSI date format (YYYY-MM-DD).</t>
  </si>
  <si>
    <t>Text Casing &amp; Spacing Issues: Status values contain mixed casing (DELIVERED, Delivered, delivered, in Transit) and leading/trailing whitespace.</t>
  </si>
  <si>
    <t>BI slicers and group-by aggregations will treat "DELIVERED" and "delivered" as two separate status categories.</t>
  </si>
  <si>
    <t>Standardize casing using =PROPER(TRIM(Status)) or =UPPER(TRIM(Status)) across all files.</t>
  </si>
  <si>
    <t>Finance</t>
  </si>
  <si>
    <t>Primary Key Identifiers</t>
  </si>
  <si>
    <t>Inconsistent Key Formatting: Identifiers use completely different casing and syntax structures (MR-1001 vs numeric 45012 vs lowercase rd-501).</t>
  </si>
  <si>
    <t>Impairs direct data cross-referencing, breaks automated validation checks, and causes inconsistent naming conventions in data models.</t>
  </si>
  <si>
    <t>Cleaned Road correctly ✔ but loaded Rail tonnes as if they were kg ✘.</t>
  </si>
  <si>
    <t>Standardize primary key formats to uppercase strings (e.g., MR-1001, RL-45012, RD-501).</t>
  </si>
  <si>
    <t>Rows 1 &amp; 2</t>
  </si>
  <si>
    <t>Metadata in Header Rows: Header text ("Pakistan Railways Freight...", "Period: February 2026...") is present above the column headers.</t>
  </si>
  <si>
    <t>Direct automated ingestion scripts will mistake administrative descriptive text for data header columns.</t>
  </si>
  <si>
    <t>Ingestion (Source / ETL)</t>
  </si>
  <si>
    <t>Configure file load options to skip the top two header rows during ingestion.</t>
  </si>
  <si>
    <t>Column Headers</t>
  </si>
  <si>
    <t>Inconsistent Header Naming: Equivalent attributes have different names (e.g., Shipment_ID vs Consignment No vs trip_id; Origin_Port vs From Station vs from_city).</t>
  </si>
  <si>
    <t>Prevents direct UNION ALL staging operations without manual column mapping.</t>
  </si>
  <si>
    <t>Rename header columns to a standard schema across all 3 staging tables (e.g., Shipment_ID, Origin, Destination, Weight_KG, Cost_PKR, Status).</t>
  </si>
  <si>
    <t>City / Location Names</t>
  </si>
  <si>
    <t>Unconformed Location Granularity: Locations mix specific facility names with generic city names (e.g., Karachi Port, Karachi Cantt, Pipri Marshalling Yard, and Karachi).</t>
  </si>
  <si>
    <t>Regional reporting by city will fragment Karachi into 4 different location slices instead of aggregating them cleanly under one conformed Location dimension.</t>
  </si>
  <si>
    <t>Dimensional Modeling / Staging</t>
  </si>
  <si>
    <t>Map raw location strings to a conformed Location Dimension containing standard City and Facility_Name attributes.</t>
  </si>
  <si>
    <t>Don't multiply Rail by 1000</t>
  </si>
  <si>
    <t>Sales</t>
  </si>
  <si>
    <t>Removed the TOTAL row ✔ but kept the duplicate trip ✘. Rail converted to kg ✔.</t>
  </si>
  <si>
    <t>Issues found:</t>
  </si>
  <si>
    <t>ShipDate: B is TEXT like 03/02/2026 = 3 February. Pull day, month, year with LEFT, MID, RIGHT and build a date with DATE(year, month, day).</t>
  </si>
  <si>
    <t>Road rows 2–14 include the duplicate</t>
  </si>
  <si>
    <t>Official truth</t>
  </si>
  <si>
    <t>One staging area, one set of rules (dependent / conformed marts)</t>
  </si>
  <si>
    <t>TRAP CHECK: MR-1003 must show 03-Feb-2026 (not 02-Mar) and MR-1012 must show 13-Feb-2026 (not an error).</t>
  </si>
  <si>
    <t>Discuss (write one line each)</t>
  </si>
  <si>
    <t>Q1. All three teams were honest. Why are their numbers different?</t>
  </si>
  <si>
    <t>Status: remove hidden spaces first, then fix the case. Look up TRIM and PROPER.</t>
  </si>
  <si>
    <t>ShipmentID: join the text 'RL-' to the number with &amp;  →  RL-45012.</t>
  </si>
  <si>
    <t>Each department worked in isolated data silos, applying different manual cleaning rules to raw, unvalidated source files without a central single source of truth.</t>
  </si>
  <si>
    <t>Q2. Which department's mistake is the most dangerous, and why?</t>
  </si>
  <si>
    <t>SourceSystem: every row gets the same text — this is your audit column.</t>
  </si>
  <si>
    <t>Finance's mistake is the most dangerous because ignoring unit headers caused a massive under-reporting of 294.95 tonnes 51% error margin, leading to severe financial misstatements.</t>
  </si>
  <si>
    <t>WeightKG: Rail is in TONNES. 1 tonne = 1,000 kg.</t>
  </si>
  <si>
    <t>Q3. What architecture change makes all three report the same number?</t>
  </si>
  <si>
    <t>Implementing a centralized Data Warehouse with a single, automated staging pipeline (Single Source of Truth) feeding all departmental reports</t>
  </si>
  <si>
    <t>Q4. Which role should decide the official definition (e.g. what counts as one shipment)?</t>
  </si>
  <si>
    <t>Status: same trick as Marine.</t>
  </si>
  <si>
    <t>A Data Governance Manager (or Lead Business Analyst/Data Steward) in collaboration with department leads should establish and enforce unified business definitions.</t>
  </si>
  <si>
    <t>Check: RL-45012 should weigh 32,500 kg.</t>
  </si>
  <si>
    <t>Task 3c · Stage the Road file</t>
  </si>
  <si>
    <t>Road has junk rows. Transform every row, then decide in 'Keep?' which rows are real shipments (Y) and which must be removed (N) — with a reason.</t>
  </si>
  <si>
    <t>Keep? (Y/N)</t>
  </si>
  <si>
    <t>Reason if N</t>
  </si>
  <si>
    <t>Task 4 · Reconcile — Validate Before You Trust (3 min)</t>
  </si>
  <si>
    <t>Nothing to type here. These checks read your staging tabs. Every ✘ means a mistake in Task 3 — go back and fix it until everything is ✔.</t>
  </si>
  <si>
    <t>Source</t>
  </si>
  <si>
    <t>Raw lines</t>
  </si>
  <si>
    <t>Removed</t>
  </si>
  <si>
    <t>Loaded</t>
  </si>
  <si>
    <t>Expected rows</t>
  </si>
  <si>
    <t>Weight (kg)</t>
  </si>
  <si>
    <t>Expected kg</t>
  </si>
  <si>
    <t>Check</t>
  </si>
  <si>
    <t>Y</t>
  </si>
  <si>
    <t>ShipmentID: make it UPPERCASE  →  RD-501.</t>
  </si>
  <si>
    <t>ShipDate: B is text like 2026-02-02. DATEVALUE turns it into a date; wrap it in IFERROR for the junk rows.</t>
  </si>
  <si>
    <t>Keep?: there are 15 raw lines but only 12 real trips. Find the 3 that must go.</t>
  </si>
  <si>
    <t>Status: TRIM + PROPER again.</t>
  </si>
  <si>
    <t>Total</t>
  </si>
  <si>
    <t>Why not just delete the junk rows? Because staging keeps the raw copy — you mark and explain, so the audit trail survives.</t>
  </si>
  <si>
    <t>N</t>
  </si>
  <si>
    <t>Duplicate record — causes double-counting of weight and cost.</t>
  </si>
  <si>
    <t>Total freight (tonnes)</t>
  </si>
  <si>
    <t>Reconciliation rule: Raw lines − Removed = Loaded. Every removed row must have a reason in T3c.</t>
  </si>
  <si>
    <t>Expected values (blue) are the official lab answers from slide 39.</t>
  </si>
  <si>
    <t>Road (kept)</t>
  </si>
  <si>
    <t>Expected</t>
  </si>
  <si>
    <t>In Transit</t>
  </si>
  <si>
    <t>Empty non-data row — causes null errors in BI reports</t>
  </si>
  <si>
    <t>Task 5 · Trace the Lineage of One Number (5 min)</t>
  </si>
  <si>
    <t>Metric: Total Freight = 578.65 tonnes (the card on the CEO dashboard). Fill each tier from the SOURCE down to the REPORT. Model answer idea: slide 29.</t>
  </si>
  <si>
    <t>Tier</t>
  </si>
  <si>
    <t>What the data looks like here</t>
  </si>
  <si>
    <t>What changes here (transformation)</t>
  </si>
  <si>
    <t>Quality check you'd place here ✓</t>
  </si>
  <si>
    <t>Audit / lineage info you'd keep</t>
  </si>
  <si>
    <t>1 · Source files</t>
  </si>
  <si>
    <t>Summary row — causes double-counting of the entire dataset.</t>
  </si>
  <si>
    <t>Delayed</t>
  </si>
  <si>
    <t>3 separate files (Marine: 12 rows in kg; Rail: 10 rows in tons with title headers; Road: 15 rows with duplicates, blanks, and TOTAL row)</t>
  </si>
  <si>
    <t>None (Raw source files read directly as-is)</t>
  </si>
  <si>
    <t>Row count check per source file and file existence verification</t>
  </si>
  <si>
    <t>Source filename, file path, file size, landing timestamp, and raw row counts</t>
  </si>
  <si>
    <t>2 · Staging</t>
  </si>
  <si>
    <t>Standardized schema (34 valid rows total; Rail converted to kg; 3 bad Road rows removed)</t>
  </si>
  <si>
    <t>Skip top 2 title rows in Rail; multiply Rail weight by 1,000; drop Road duplicate (rd-505), blank, and TOTAL row; trim and standardize casing and dates</t>
  </si>
  <si>
    <t>Reconciliation check: Ensure Loaded records = 34 (12+10+12) and Total weight = 578,650 kg</t>
  </si>
  <si>
    <t>Pipeline batch ID, execution start/end time, number of dropped/rejected rows, and transformation logs</t>
  </si>
  <si>
    <t>3 · Storage (integrated)</t>
  </si>
  <si>
    <t>Single unified fact table (FactShipments) joined to conformed dimensions (DimDate, DimTransportMode, DimLocation)</t>
  </si>
  <si>
    <t>Assign surrogate keys, map raw locations to conformed dimension keys, and append modal flag (Marine/Rail/Road)</t>
  </si>
  <si>
    <t>Primary key uniqueness check (Shipment_Key), foreign key referential integrity checks</t>
  </si>
  <si>
    <t>Inserted timestamp, source system lineage ID, and data warehouse record load status</t>
  </si>
  <si>
    <t>4 · Presentation</t>
  </si>
  <si>
    <t>Star-schema semantic model / Power BI dataset with an explicit DAX aggregate measure</t>
  </si>
  <si>
    <t>Create explicit total measure: Total Weight KG = SUM(FactShipments[Weight_KG]) (578,650 kg)</t>
  </si>
  <si>
    <t>Compare DAX measure result against staging total check (578,650 kg)</t>
  </si>
  <si>
    <t>Semantic model version, last refresh timestamp, and DAX measure definition</t>
  </si>
  <si>
    <t>5 · Report</t>
  </si>
  <si>
    <t>Visual KPI Card on the CEO Dashboard displaying 578.65 t</t>
  </si>
  <si>
    <t>Format weight in metric tonnes by dividing Total Weight KG by 1,000 or applying Power BI visual unit display formatting (/ 1000)</t>
  </si>
  <si>
    <t>Visual threshold check (&gt; 0 and within expected operational limits)</t>
  </si>
  <si>
    <t>Dashboard refresh timestamp, report user view logs, and visual query definition</t>
  </si>
  <si>
    <t>Where do tonnes become kilograms — and why there and not in the dashboard?</t>
  </si>
  <si>
    <t>Other status values</t>
  </si>
  <si>
    <t>Tonnes become kilograms in the Staging tier (Tier 2). We convert units in staging so all records are stored in a single standardized base unit kg inside the database. If unit conversion were left to the dashboard, different report builders might forget to convert or use different formulas, leading to inconsistent numbers across reports.</t>
  </si>
  <si>
    <t>Date trap</t>
  </si>
  <si>
    <t>MR-1003 date</t>
  </si>
  <si>
    <t>Task 6 · Kimball Bus Matrix (7 min)</t>
  </si>
  <si>
    <t>Rows = PakFreight business processes (each becomes one star schema). Columns = dimensions. Put X where a process needs that dimension. Dimensions used by many processes must be CONFORMED (built once, shared by all stars) — that is what stops stovepipes.</t>
  </si>
  <si>
    <t>Business process (fact table)</t>
  </si>
  <si>
    <t>Customer</t>
  </si>
  <si>
    <t>MR-1012 date</t>
  </si>
  <si>
    <t>Route</t>
  </si>
  <si>
    <t>Vehicle</t>
  </si>
  <si>
    <t>Driver</t>
  </si>
  <si>
    <t>Station / Port</t>
  </si>
  <si>
    <t>Commodity</t>
  </si>
  <si>
    <t>Dims used</t>
  </si>
  <si>
    <t>Shipments</t>
  </si>
  <si>
    <t>X</t>
  </si>
  <si>
    <t>Billing &amp; Invoicing</t>
  </si>
  <si>
    <t>Fleet Maintenance</t>
  </si>
  <si>
    <t>Fuel Purchases</t>
  </si>
  <si>
    <t>Driver Trips &amp; Hours</t>
  </si>
  <si>
    <t>Customer Complaints</t>
  </si>
  <si>
    <t>Processes using this dim</t>
  </si>
  <si>
    <t>Row 1 (Shipments) is filled as an example.</t>
  </si>
  <si>
    <t>Q1. Which dimension is used by EVERY process? Why is it always conformed first?</t>
  </si>
  <si>
    <t>The Date dimension. It is always conformed first because every business process occurs over time, making a single shared Date table essential for cross-process trend analysis, performance comparison, and financial reporting</t>
  </si>
  <si>
    <t>Q2. Which 2–3 dimensions must Finance, Ops and Sales agree on to stop the '3 different totals' problem?</t>
  </si>
  <si>
    <t>Date, Route (or Station/Port), and Commodity. Standardizing these dimensions ensures all three departments aggregate shipments using identical time boundaries, origin/destination mappings, and cargo classifications</t>
  </si>
  <si>
    <t>Q3. Kimball is 'bottom-up'. Does that mean he doesn't plan? What does this matrix prove?</t>
  </si>
  <si>
    <t>No, Kimball plans extensively through the Bus Matrix. The matrix proves that bottom-up design is architected in advance by mapping conformed dimensions across business processes so datasets can be built incrementally without creating isolated data silos.</t>
  </si>
  <si>
    <t>Q4. Which row would you build first for the COO, and why?</t>
  </si>
  <si>
    <t>It is the primary core operational process that uses the most dimensions 6, directly generating revenue and operational activity that feeds downstream processes like Billing and Driver Trips.</t>
  </si>
  <si>
    <t>Task 7 · Inmon, Kimball or Hybrid? (5 min)</t>
  </si>
  <si>
    <t>Pick from the drop-down for each statement and give a one-line reason. Your teacher will reveal the answers.</t>
  </si>
  <si>
    <t>Statement / scenario</t>
  </si>
  <si>
    <t>Inmon · Kimball · Hybrid</t>
  </si>
  <si>
    <t>Why? (one line)</t>
  </si>
  <si>
    <t>A bank must integrate 40 systems into one enterprise model for regulators before anyone builds reports.</t>
  </si>
  <si>
    <t>Inmon</t>
  </si>
  <si>
    <t>Inmon prioritizes a top-down, centralized 3NF enterprise warehouse to meet strict, single-source regulatory requirements first.</t>
  </si>
  <si>
    <t>PakFreight's COO wants a useful shipments dashboard within 3 months.</t>
  </si>
  <si>
    <t>Kimball</t>
  </si>
  <si>
    <t>Kimball uses a bottom-up dimensional approach that delivers fast, iterative value business process by business process.</t>
  </si>
  <si>
    <t>The core warehouse is stored in normalised third normal form (3NF).</t>
  </si>
  <si>
    <t>Inmon relies on a centralized 3NF relational model to minimize data redundancy and maintain atomicity.</t>
  </si>
  <si>
    <t>Data marts ARE the presentation area, tied together by conformed dimensions.</t>
  </si>
  <si>
    <t>Kimball builds the enterprise warehouse directly out of dimensional data marts linked by shared (conformed) dimensions.</t>
  </si>
  <si>
    <t>The bus matrix is planned for the whole company, but built one process at a time.</t>
  </si>
  <si>
    <t>The Kimball Bus Architecture acts as the strategic roadmap for incrementally building conformed dimensional models.</t>
  </si>
  <si>
    <t>Departments get dependent marts that are derived from the central EDW.</t>
  </si>
  <si>
    <t>Inmon feeds departmental data marts downstream from the single centralized 3NF Enterprise Data Warehouse.</t>
  </si>
  <si>
    <t>Biggest risk: a long wait before users see any value.</t>
  </si>
  <si>
    <t>Building a comprehensive enterprise 3NF model upfront requires significant time before delivering reportable value.</t>
  </si>
  <si>
    <t>Biggest risk: sliding back into stovepipes if teams ignore conformance.</t>
  </si>
  <si>
    <t>Without strict governance over conformed dimensions, independent Kimball marts deteriorate into isolated data silos.</t>
  </si>
  <si>
    <t>Start from the data; users discover real requirements after they see it (CLDS).</t>
  </si>
  <si>
    <t>Inmon follows the Data-Driven (CLDS: Climate, Data, System, Result) life cycle, starting with data integration.</t>
  </si>
  <si>
    <t>Bronze raw files → Silver cleaned &amp; integrated tables → Gold star schemas in Microsoft Fabric.</t>
  </si>
  <si>
    <t>Hybrid</t>
  </si>
  <si>
    <t>The Medallion Architecture blends Inmon-style normalized storage (Silver) with Kimball-style dimensional reporting (Gold).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</si>
</sst>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0.##"/>
    <numFmt numFmtId="166" formatCode="\+#,##0.00;\-#,##0.00;0.00"/>
  </numFmts>
  <fonts count="25">
    <font>
      <sz val="11.0"/>
      <color theme="1"/>
      <name val="Calibri"/>
      <scheme val="minor"/>
    </font>
    <font>
      <b/>
      <sz val="16.0"/>
      <color rgb="FF0B2545"/>
      <name val="Arial"/>
    </font>
    <font>
      <b/>
      <sz val="10.0"/>
      <color rgb="FFFFFFFF"/>
      <name val="Arial"/>
    </font>
    <font>
      <i/>
      <sz val="10.0"/>
      <color rgb="FF4B5563"/>
      <name val="Arial"/>
    </font>
    <font>
      <b/>
      <sz val="12.0"/>
      <color theme="1"/>
      <name val="Arial"/>
    </font>
    <font>
      <b/>
      <sz val="12.0"/>
      <color rgb="FF0B2545"/>
      <name val="Arial"/>
    </font>
    <font>
      <sz val="10.0"/>
      <color rgb="FF000000"/>
      <name val="Arial"/>
    </font>
    <font>
      <i/>
      <sz val="10.0"/>
      <color theme="1"/>
      <name val="Arial"/>
    </font>
    <font>
      <sz val="11.0"/>
      <color theme="1"/>
      <name val="Calibri"/>
    </font>
    <font>
      <sz val="10.0"/>
      <color theme="1"/>
      <name val="Arial"/>
    </font>
    <font>
      <b/>
      <sz val="10.0"/>
      <color rgb="FF000000"/>
      <name val="Arial"/>
    </font>
    <font>
      <b/>
      <sz val="11.0"/>
      <color rgb="FF6B7280"/>
      <name val="Arial"/>
    </font>
    <font>
      <b/>
      <sz val="11.0"/>
      <color rgb="FF00A6A6"/>
      <name val="Arial"/>
    </font>
    <font>
      <sz val="10.0"/>
      <color rgb="FF181C1F"/>
      <name val="Arial"/>
    </font>
    <font>
      <sz val="10.0"/>
      <color rgb="FF6B7280"/>
      <name val="Arial"/>
    </font>
    <font>
      <sz val="10.0"/>
      <color rgb="FF0000FF"/>
      <name val="Arial"/>
    </font>
    <font/>
    <font>
      <color theme="1"/>
      <name val="Calibri"/>
    </font>
    <font>
      <i/>
      <sz val="9.0"/>
      <color rgb="FF6B7280"/>
      <name val="Arial"/>
    </font>
    <font>
      <sz val="10.0"/>
      <color rgb="FF1A1B20"/>
      <name val="Roboto"/>
    </font>
    <font>
      <sz val="10.0"/>
      <color theme="1"/>
      <name val="Google Sans"/>
    </font>
    <font>
      <color rgb="FF1A1B20"/>
      <name val="Roboto"/>
    </font>
    <font>
      <color theme="1"/>
      <name val="Arial"/>
    </font>
    <font>
      <b/>
      <color rgb="FF1A1B20"/>
      <name val="Roboto"/>
    </font>
    <font>
      <sz val="10.0"/>
      <color rgb="FF191B1F"/>
      <name val="Arial"/>
    </font>
  </fonts>
  <fills count="14">
    <fill>
      <patternFill patternType="none"/>
    </fill>
    <fill>
      <patternFill patternType="lightGray"/>
    </fill>
    <fill>
      <patternFill patternType="solid">
        <fgColor rgb="FF6B7280"/>
        <bgColor rgb="FF6B7280"/>
      </patternFill>
    </fill>
    <fill>
      <patternFill patternType="solid">
        <fgColor rgb="FFF3F4F6"/>
        <bgColor rgb="FFF3F4F6"/>
      </patternFill>
    </fill>
    <fill>
      <patternFill patternType="solid">
        <fgColor rgb="FF0B2545"/>
        <bgColor rgb="FF0B2545"/>
      </patternFill>
    </fill>
    <fill>
      <patternFill patternType="solid">
        <fgColor rgb="FFFFF59D"/>
        <bgColor rgb="FFFFF59D"/>
      </patternFill>
    </fill>
    <fill>
      <patternFill patternType="solid">
        <fgColor rgb="FFC6EFCE"/>
        <bgColor rgb="FFC6EFCE"/>
      </patternFill>
    </fill>
    <fill>
      <patternFill patternType="solid">
        <fgColor rgb="FFFFC7CE"/>
        <bgColor rgb="FFFFC7CE"/>
      </patternFill>
    </fill>
    <fill>
      <patternFill patternType="solid">
        <fgColor rgb="FFE6F6F6"/>
        <bgColor rgb="FFE6F6F6"/>
      </patternFill>
    </fill>
    <fill>
      <patternFill patternType="solid">
        <fgColor rgb="FFF8F8FF"/>
        <bgColor rgb="FFF8F8FF"/>
      </patternFill>
    </fill>
    <fill>
      <patternFill patternType="solid">
        <fgColor rgb="FFFFFFFF"/>
        <bgColor rgb="FFFFFFFF"/>
      </patternFill>
    </fill>
    <fill>
      <patternFill patternType="solid">
        <fgColor rgb="FFFFFF00"/>
        <bgColor rgb="FFFFFF00"/>
      </patternFill>
    </fill>
    <fill>
      <patternFill patternType="solid">
        <fgColor rgb="FF00A6A6"/>
        <bgColor rgb="FF00A6A6"/>
      </patternFill>
    </fill>
    <fill>
      <patternFill patternType="solid">
        <fgColor rgb="FFF9F9FF"/>
        <bgColor rgb="FFF9F9FF"/>
      </patternFill>
    </fill>
  </fills>
  <borders count="10">
    <border/>
    <border>
      <left style="thin">
        <color rgb="FFC8CFD8"/>
      </left>
      <right style="thin">
        <color rgb="FFC8CFD8"/>
      </right>
      <top style="thin">
        <color rgb="FFC8CFD8"/>
      </top>
      <bottom style="thin">
        <color rgb="FFC8CFD8"/>
      </bottom>
    </border>
    <border>
      <left style="thin">
        <color rgb="FF74777E"/>
      </left>
      <right style="thin">
        <color rgb="FF74777E"/>
      </right>
      <top style="thin">
        <color rgb="FF74777E"/>
      </top>
      <bottom style="thin">
        <color rgb="FF74777E"/>
      </bottom>
    </border>
    <border>
      <left style="thin">
        <color rgb="FFC8CFD8"/>
      </left>
      <top style="thin">
        <color rgb="FFC8CFD8"/>
      </top>
      <bottom style="thin">
        <color rgb="FFC8CFD8"/>
      </bottom>
    </border>
    <border>
      <top style="thin">
        <color rgb="FFC8CFD8"/>
      </top>
      <bottom style="thin">
        <color rgb="FFC8CFD8"/>
      </bottom>
    </border>
    <border>
      <right style="thin">
        <color rgb="FFC8CFD8"/>
      </right>
      <top style="thin">
        <color rgb="FFC8CFD8"/>
      </top>
      <bottom style="thin">
        <color rgb="FFC8CFD8"/>
      </bottom>
    </border>
    <border>
      <bottom style="thin">
        <color rgb="FFC8CFD8"/>
      </bottom>
    </border>
    <border>
      <right style="thin">
        <color rgb="FFC8CFD8"/>
      </right>
      <bottom style="thin">
        <color rgb="FFC8CFD8"/>
      </bottom>
    </border>
    <border>
      <left style="thin">
        <color rgb="FF73777E"/>
      </left>
      <right style="thin">
        <color rgb="FF73777E"/>
      </right>
      <top style="thin">
        <color rgb="FF73777E"/>
      </top>
      <bottom style="thin">
        <color rgb="FF73777E"/>
      </bottom>
    </border>
    <border>
      <left style="thin">
        <color rgb="FF73767E"/>
      </left>
      <right style="thin">
        <color rgb="FF73767E"/>
      </right>
      <top style="thin">
        <color rgb="FF73767E"/>
      </top>
      <bottom style="thin">
        <color rgb="FF73767E"/>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bottom" wrapText="0"/>
    </xf>
    <xf borderId="0" fillId="0" fontId="5" numFmtId="0" xfId="0" applyAlignment="1" applyFont="1">
      <alignment shrinkToFit="0" vertical="bottom" wrapText="0"/>
    </xf>
    <xf borderId="1" fillId="3" fontId="6" numFmtId="0" xfId="0" applyAlignment="1" applyBorder="1" applyFill="1" applyFont="1">
      <alignment shrinkToFit="0" vertical="top" wrapText="0"/>
    </xf>
    <xf borderId="0" fillId="0" fontId="7" numFmtId="0" xfId="0" applyAlignment="1" applyFont="1">
      <alignment shrinkToFit="0" vertical="bottom" wrapText="0"/>
    </xf>
    <xf borderId="0" fillId="0" fontId="8" numFmtId="0" xfId="0" applyAlignment="1" applyFont="1">
      <alignment horizontal="right" shrinkToFit="0" vertical="top" wrapText="0"/>
    </xf>
    <xf borderId="1" fillId="3" fontId="6" numFmtId="3" xfId="0" applyAlignment="1" applyBorder="1" applyFill="1" applyFont="1" applyNumberFormat="1">
      <alignment shrinkToFit="0" vertical="top" wrapText="0"/>
    </xf>
    <xf borderId="0" fillId="0" fontId="9" numFmtId="0" xfId="0" applyAlignment="1" applyFont="1">
      <alignment shrinkToFit="0" vertical="top" wrapText="1"/>
    </xf>
    <xf borderId="1" fillId="4" fontId="2" numFmtId="0" xfId="0" applyAlignment="1" applyBorder="1" applyFill="1" applyFont="1">
      <alignment horizontal="center" shrinkToFit="0" vertical="center" wrapText="1"/>
    </xf>
    <xf borderId="1" fillId="0" fontId="6" numFmtId="0" xfId="0" applyAlignment="1" applyBorder="1" applyFont="1">
      <alignment horizontal="center" shrinkToFit="0" vertical="top" wrapText="1"/>
    </xf>
    <xf borderId="1" fillId="0" fontId="6" numFmtId="0" xfId="0" applyAlignment="1" applyBorder="1" applyFont="1">
      <alignment shrinkToFit="0" vertical="top" wrapText="1"/>
    </xf>
    <xf borderId="1" fillId="3" fontId="6" numFmtId="164" xfId="0" applyAlignment="1" applyBorder="1" applyFill="1" applyFont="1" applyNumberFormat="1">
      <alignment shrinkToFit="0" vertical="top" wrapText="0"/>
    </xf>
    <xf borderId="1" fillId="3" fontId="6" numFmtId="2" xfId="0" applyAlignment="1" applyBorder="1" applyFill="1" applyFont="1" applyNumberFormat="1">
      <alignment shrinkToFit="0" vertical="top" wrapText="0"/>
    </xf>
    <xf borderId="1" fillId="0" fontId="10" numFmtId="0" xfId="0" applyAlignment="1" applyBorder="1" applyFont="1">
      <alignment shrinkToFit="0" vertical="top" wrapText="1"/>
    </xf>
    <xf borderId="1" fillId="0" fontId="10" numFmtId="0" xfId="0" applyAlignment="1" applyBorder="1" applyFont="1">
      <alignment horizontal="center" shrinkToFit="0" vertical="top" wrapText="1"/>
    </xf>
    <xf borderId="1" fillId="5" fontId="6" numFmtId="0" xfId="0" applyAlignment="1" applyBorder="1" applyFill="1" applyFont="1">
      <alignment shrinkToFit="0" vertical="top" wrapText="1"/>
    </xf>
    <xf borderId="1" fillId="3" fontId="6" numFmtId="0" xfId="0" applyAlignment="1" applyBorder="1" applyFill="1" applyFont="1">
      <alignment shrinkToFit="0" vertical="top" wrapText="1"/>
    </xf>
    <xf borderId="1" fillId="6" fontId="6" numFmtId="0" xfId="0" applyAlignment="1" applyBorder="1" applyFill="1" applyFont="1">
      <alignment shrinkToFit="0" vertical="top" wrapText="1"/>
    </xf>
    <xf borderId="1" fillId="7" fontId="6" numFmtId="0" xfId="0" applyAlignment="1" applyBorder="1" applyFill="1" applyFont="1">
      <alignment shrinkToFit="0" vertical="top" wrapText="1"/>
    </xf>
    <xf borderId="0" fillId="0" fontId="11" numFmtId="0" xfId="0" applyAlignment="1" applyFont="1">
      <alignment shrinkToFit="0" vertical="bottom" wrapText="0"/>
    </xf>
    <xf borderId="0" fillId="0" fontId="12" numFmtId="0" xfId="0" applyAlignment="1" applyFont="1">
      <alignment shrinkToFit="0" vertical="bottom" wrapText="0"/>
    </xf>
    <xf borderId="1" fillId="0" fontId="6" numFmtId="0" xfId="0" applyAlignment="1" applyBorder="1" applyFont="1">
      <alignment horizontal="left" shrinkToFit="0" vertical="center" wrapText="1"/>
    </xf>
    <xf borderId="1" fillId="8" fontId="10" numFmtId="0" xfId="0" applyAlignment="1" applyBorder="1" applyFill="1" applyFont="1">
      <alignment shrinkToFit="0" vertical="top" wrapText="1"/>
    </xf>
    <xf borderId="1" fillId="0" fontId="6" numFmtId="0" xfId="0" applyAlignment="1" applyBorder="1" applyFont="1">
      <alignment horizontal="center" shrinkToFit="0" vertical="center" wrapText="1"/>
    </xf>
    <xf borderId="0" fillId="0" fontId="9" numFmtId="4" xfId="0" applyAlignment="1" applyFont="1" applyNumberFormat="1">
      <alignment horizontal="center" vertical="center"/>
    </xf>
    <xf borderId="1" fillId="3" fontId="6" numFmtId="165" xfId="0" applyAlignment="1" applyBorder="1" applyFill="1" applyFont="1" applyNumberFormat="1">
      <alignment shrinkToFit="0" vertical="top" wrapText="0"/>
    </xf>
    <xf borderId="2" fillId="9" fontId="13" numFmtId="0" xfId="0" applyAlignment="1" applyBorder="1" applyFill="1" applyFont="1">
      <alignment horizontal="left" vertical="center"/>
    </xf>
    <xf borderId="2" fillId="9" fontId="13" numFmtId="0" xfId="0" applyAlignment="1" applyBorder="1" applyFill="1" applyFont="1">
      <alignment horizontal="left" shrinkToFit="0" vertical="center" wrapText="1"/>
    </xf>
    <xf borderId="2" fillId="9" fontId="13" numFmtId="0" xfId="0" applyAlignment="1" applyBorder="1" applyFill="1" applyFont="1">
      <alignment horizontal="center" vertical="center"/>
    </xf>
    <xf borderId="2" fillId="10" fontId="13" numFmtId="0" xfId="0" applyAlignment="1" applyBorder="1" applyFill="1" applyFont="1">
      <alignment horizontal="left" vertical="center"/>
    </xf>
    <xf borderId="2" fillId="10" fontId="13" numFmtId="0" xfId="0" applyAlignment="1" applyBorder="1" applyFill="1" applyFont="1">
      <alignment horizontal="left" shrinkToFit="0" vertical="center" wrapText="1"/>
    </xf>
    <xf borderId="1" fillId="0" fontId="6" numFmtId="0" xfId="0" applyAlignment="1" applyBorder="1" applyFont="1">
      <alignment shrinkToFit="0" vertical="top" wrapText="0"/>
    </xf>
    <xf borderId="1" fillId="0" fontId="6" numFmtId="4" xfId="0" applyAlignment="1" applyBorder="1" applyFont="1" applyNumberFormat="1">
      <alignment horizontal="center" shrinkToFit="0" vertical="center" wrapText="1"/>
    </xf>
    <xf borderId="2" fillId="10" fontId="13" numFmtId="0" xfId="0" applyAlignment="1" applyBorder="1" applyFill="1" applyFont="1">
      <alignment horizontal="center" vertical="center"/>
    </xf>
    <xf borderId="1" fillId="0" fontId="6" numFmtId="166" xfId="0" applyAlignment="1" applyBorder="1" applyFont="1" applyNumberFormat="1">
      <alignment horizontal="center" shrinkToFit="0" vertical="center" wrapText="1"/>
    </xf>
    <xf borderId="1" fillId="5" fontId="6" numFmtId="164" xfId="0" applyAlignment="1" applyBorder="1" applyFill="1" applyFont="1" applyNumberFormat="1">
      <alignment shrinkToFit="0" vertical="top" wrapText="0"/>
    </xf>
    <xf borderId="1" fillId="0" fontId="14" numFmtId="0" xfId="0" applyAlignment="1" applyBorder="1" applyFont="1">
      <alignment shrinkToFit="0" vertical="top" wrapText="1"/>
    </xf>
    <xf borderId="1" fillId="0" fontId="6" numFmtId="3" xfId="0" applyAlignment="1" applyBorder="1" applyFont="1" applyNumberFormat="1">
      <alignment shrinkToFit="0" vertical="top" wrapText="0"/>
    </xf>
    <xf borderId="1" fillId="5" fontId="6" numFmtId="0" xfId="0" applyAlignment="1" applyBorder="1" applyFill="1" applyFont="1">
      <alignment shrinkToFit="0" vertical="top" wrapText="0"/>
    </xf>
    <xf borderId="1" fillId="0" fontId="10" numFmtId="0" xfId="0" applyAlignment="1" applyBorder="1" applyFont="1">
      <alignment horizontal="right" shrinkToFit="0" vertical="top" wrapText="1"/>
    </xf>
    <xf borderId="1" fillId="8" fontId="6" numFmtId="0" xfId="0" applyAlignment="1" applyBorder="1" applyFill="1" applyFont="1">
      <alignment shrinkToFit="0" vertical="top" wrapText="0"/>
    </xf>
    <xf borderId="1" fillId="0" fontId="6" numFmtId="164" xfId="0" applyAlignment="1" applyBorder="1" applyFont="1" applyNumberFormat="1">
      <alignment shrinkToFit="0" vertical="top" wrapText="0"/>
    </xf>
    <xf borderId="1" fillId="8" fontId="6" numFmtId="0" xfId="0" applyAlignment="1" applyBorder="1" applyFill="1" applyFont="1">
      <alignment shrinkToFit="0" vertical="top" wrapText="1"/>
    </xf>
    <xf borderId="1" fillId="8" fontId="15" numFmtId="3" xfId="0" applyAlignment="1" applyBorder="1" applyFill="1" applyFont="1" applyNumberFormat="1">
      <alignment shrinkToFit="0" vertical="top" wrapText="1"/>
    </xf>
    <xf borderId="1" fillId="5" fontId="6" numFmtId="3" xfId="0" applyAlignment="1" applyBorder="1" applyFill="1" applyFont="1" applyNumberFormat="1">
      <alignment shrinkToFit="0" vertical="top" wrapText="0"/>
    </xf>
    <xf borderId="1" fillId="8" fontId="10" numFmtId="4" xfId="0" applyAlignment="1" applyBorder="1" applyFill="1" applyFont="1" applyNumberFormat="1">
      <alignment shrinkToFit="0" vertical="top" wrapText="1"/>
    </xf>
    <xf borderId="3" fillId="0" fontId="10" numFmtId="0" xfId="0" applyAlignment="1" applyBorder="1" applyFont="1">
      <alignment shrinkToFit="0" vertical="top" wrapText="1"/>
    </xf>
    <xf borderId="4" fillId="0" fontId="16" numFmtId="0" xfId="0" applyBorder="1" applyFont="1"/>
    <xf borderId="5" fillId="0" fontId="16" numFmtId="0" xfId="0" applyBorder="1" applyFont="1"/>
    <xf borderId="0" fillId="11" fontId="9" numFmtId="0" xfId="0" applyAlignment="1" applyFill="1" applyFont="1">
      <alignment horizontal="left" vertical="center"/>
    </xf>
    <xf borderId="6" fillId="11" fontId="9" numFmtId="0" xfId="0" applyAlignment="1" applyBorder="1" applyFill="1" applyFont="1">
      <alignment readingOrder="0" shrinkToFit="0" vertical="center" wrapText="1"/>
    </xf>
    <xf borderId="6" fillId="0" fontId="16" numFmtId="0" xfId="0" applyBorder="1" applyFont="1"/>
    <xf borderId="7" fillId="0" fontId="16" numFmtId="0" xfId="0" applyBorder="1" applyFont="1"/>
    <xf borderId="6" fillId="11" fontId="9" numFmtId="0" xfId="0" applyAlignment="1" applyBorder="1" applyFill="1" applyFont="1">
      <alignment vertical="center"/>
    </xf>
    <xf borderId="3" fillId="11" fontId="6" numFmtId="0" xfId="0" applyAlignment="1" applyBorder="1" applyFill="1" applyFont="1">
      <alignment shrinkToFit="0" vertical="center" wrapText="1"/>
    </xf>
    <xf borderId="1" fillId="12" fontId="2" numFmtId="0" xfId="0" applyAlignment="1" applyBorder="1" applyFill="1" applyFont="1">
      <alignment horizontal="center" shrinkToFit="0" vertical="center" wrapText="1"/>
    </xf>
    <xf borderId="1" fillId="0" fontId="15" numFmtId="0" xfId="0" applyAlignment="1" applyBorder="1" applyFont="1">
      <alignment horizontal="center" shrinkToFit="0" vertical="top" wrapText="1"/>
    </xf>
    <xf borderId="1" fillId="0" fontId="6" numFmtId="3" xfId="0" applyAlignment="1" applyBorder="1" applyFont="1" applyNumberFormat="1">
      <alignment shrinkToFit="0" vertical="top" wrapText="1"/>
    </xf>
    <xf borderId="1" fillId="0" fontId="15" numFmtId="3" xfId="0" applyAlignment="1" applyBorder="1" applyFont="1" applyNumberFormat="1">
      <alignment shrinkToFit="0" vertical="top" wrapText="1"/>
    </xf>
    <xf borderId="1" fillId="0" fontId="10" numFmtId="3" xfId="0" applyAlignment="1" applyBorder="1" applyFont="1" applyNumberFormat="1">
      <alignment shrinkToFit="0" vertical="top" wrapText="1"/>
    </xf>
    <xf borderId="0" fillId="0" fontId="17" numFmtId="0" xfId="0" applyAlignment="1" applyFont="1">
      <alignment shrinkToFit="0" wrapText="1"/>
    </xf>
    <xf borderId="1" fillId="0" fontId="10" numFmtId="4" xfId="0" applyAlignment="1" applyBorder="1" applyFont="1" applyNumberFormat="1">
      <alignment shrinkToFit="0" vertical="top" wrapText="1"/>
    </xf>
    <xf borderId="1" fillId="0" fontId="15" numFmtId="4" xfId="0" applyAlignment="1" applyBorder="1" applyFont="1" applyNumberFormat="1">
      <alignment shrinkToFit="0" vertical="top" wrapText="1"/>
    </xf>
    <xf borderId="3" fillId="0" fontId="14" numFmtId="0" xfId="0" applyAlignment="1" applyBorder="1" applyFont="1">
      <alignment shrinkToFit="0" vertical="top" wrapText="1"/>
    </xf>
    <xf borderId="0" fillId="0" fontId="18" numFmtId="0" xfId="0" applyAlignment="1" applyFont="1">
      <alignment shrinkToFit="0" vertical="bottom" wrapText="0"/>
    </xf>
    <xf borderId="0" fillId="0" fontId="17" numFmtId="0" xfId="0" applyFont="1"/>
    <xf borderId="8" fillId="13" fontId="19" numFmtId="0" xfId="0" applyAlignment="1" applyBorder="1" applyFill="1" applyFont="1">
      <alignment shrinkToFit="0" vertical="top" wrapText="1"/>
    </xf>
    <xf borderId="8" fillId="10" fontId="19" numFmtId="0" xfId="0" applyAlignment="1" applyBorder="1" applyFill="1" applyFont="1">
      <alignment shrinkToFit="0" vertical="top" wrapText="1"/>
    </xf>
    <xf borderId="6" fillId="11" fontId="20" numFmtId="0" xfId="0" applyAlignment="1" applyBorder="1" applyFill="1" applyFont="1">
      <alignment horizontal="left" readingOrder="0" shrinkToFit="0" wrapText="1"/>
    </xf>
    <xf borderId="1" fillId="0" fontId="6" numFmtId="164" xfId="0" applyAlignment="1" applyBorder="1" applyFont="1" applyNumberFormat="1">
      <alignment shrinkToFit="0" vertical="top" wrapText="1"/>
    </xf>
    <xf borderId="1" fillId="0" fontId="15" numFmtId="164" xfId="0" applyAlignment="1" applyBorder="1" applyFont="1" applyNumberFormat="1">
      <alignment shrinkToFit="0" vertical="top" wrapText="1"/>
    </xf>
    <xf borderId="8" fillId="10" fontId="21" numFmtId="0" xfId="0" applyBorder="1" applyFill="1" applyFont="1"/>
    <xf borderId="8" fillId="10" fontId="21" numFmtId="0" xfId="0" applyAlignment="1" applyBorder="1" applyFill="1" applyFont="1">
      <alignment horizontal="center"/>
    </xf>
    <xf borderId="8" fillId="10" fontId="22" numFmtId="0" xfId="0" applyBorder="1" applyFill="1" applyFont="1"/>
    <xf borderId="8" fillId="13" fontId="21" numFmtId="0" xfId="0" applyBorder="1" applyFill="1" applyFont="1"/>
    <xf borderId="8" fillId="13" fontId="21" numFmtId="0" xfId="0" applyAlignment="1" applyBorder="1" applyFill="1" applyFont="1">
      <alignment horizontal="center"/>
    </xf>
    <xf borderId="8" fillId="13" fontId="22" numFmtId="0" xfId="0" applyBorder="1" applyFill="1" applyFont="1"/>
    <xf borderId="8" fillId="10" fontId="23" numFmtId="0" xfId="0" applyBorder="1" applyFill="1" applyFont="1"/>
    <xf borderId="8" fillId="10" fontId="23" numFmtId="0" xfId="0" applyAlignment="1" applyBorder="1" applyFill="1" applyFont="1">
      <alignment horizontal="center"/>
    </xf>
    <xf borderId="6" fillId="11" fontId="9" numFmtId="0" xfId="0" applyAlignment="1" applyBorder="1" applyFill="1" applyFont="1">
      <alignment shrinkToFit="0" vertical="center" wrapText="1"/>
    </xf>
    <xf borderId="0" fillId="10" fontId="17" numFmtId="0" xfId="0" applyFill="1" applyFont="1"/>
    <xf borderId="1" fillId="5" fontId="10" numFmtId="0" xfId="0" applyAlignment="1" applyBorder="1" applyFill="1" applyFont="1">
      <alignment horizontal="center" shrinkToFit="0" vertical="top" wrapText="1"/>
    </xf>
    <xf borderId="9" fillId="10" fontId="24" numFmtId="0" xfId="0" applyAlignment="1" applyBorder="1" applyFill="1" applyFont="1">
      <alignment horizontal="left" readingOrder="0" shrinkToFit="0" vertical="center" wrapText="1"/>
    </xf>
    <xf borderId="9" fillId="9" fontId="24" numFmtId="0" xfId="0" applyAlignment="1" applyBorder="1" applyFill="1" applyFont="1">
      <alignment shrinkToFit="0" vertical="center" wrapText="1"/>
    </xf>
    <xf borderId="9" fillId="10" fontId="24" numFmtId="0" xfId="0" applyAlignment="1" applyBorder="1" applyFill="1" applyFont="1">
      <alignment shrinkToFit="0" vertical="center" wrapText="1"/>
    </xf>
  </cellXfs>
  <cellStyles count="1">
    <cellStyle xfId="0" name="Normal" builtinId="0"/>
  </cellStyles>
  <dxfs count="9">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3F5F8F"/>
          <bgColor rgb="FF3F5F8F"/>
        </patternFill>
      </fill>
      <border/>
    </dxf>
    <dxf>
      <border>
        <left style="thin">
          <color rgb="FF3F5F8F"/>
        </left>
        <right style="thin">
          <color rgb="FF3F5F8F"/>
        </right>
        <top style="thin">
          <color rgb="FF3F5F8F"/>
        </top>
        <bottom style="thin">
          <color rgb="FF3F5F8F"/>
        </bottom>
      </border>
    </dxf>
    <dxf>
      <font>
        <b/>
        <color rgb="FF006100"/>
        <name val="Arial"/>
      </font>
      <fill>
        <patternFill patternType="solid">
          <fgColor rgb="FFC6EFCE"/>
          <bgColor rgb="FFC6EFCE"/>
        </patternFill>
      </fill>
      <border/>
    </dxf>
    <dxf>
      <font>
        <b/>
        <color rgb="FF9C0006"/>
        <name val="Arial"/>
      </font>
      <fill>
        <patternFill patternType="solid">
          <fgColor rgb="FFFFC7CE"/>
          <bgColor rgb="FFFFC7CE"/>
        </patternFill>
      </fill>
      <border/>
    </dxf>
  </dxfs>
  <tableStyles count="3">
    <tableStyle count="2" pivot="0" name="T1 Detective-style">
      <tableStyleElement dxfId="1" type="firstRowStripe"/>
      <tableStyleElement dxfId="2" type="secondRowStripe"/>
    </tableStyle>
    <tableStyle count="3" pivot="0" name="T6 Bus Matrix-style">
      <tableStyleElement dxfId="3" type="headerRow"/>
      <tableStyleElement dxfId="4" type="firstRowStripe"/>
      <tableStyleElement dxfId="2" type="secondRowStripe"/>
    </tableStyle>
    <tableStyle count="4" pivot="0" name="T7 Inmon or Kimball-style">
      <tableStyleElement dxfId="5" type="headerRow"/>
      <tableStyleElement dxfId="1" type="firstRowStripe"/>
      <tableStyleElement dxfId="2"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6:G15" displayName="Table_1" name="Table_1" id="1">
  <tableColumns count="6">
    <tableColumn name="Column1" id="1"/>
    <tableColumn name="Column2" id="2"/>
    <tableColumn name="Column3" id="3"/>
    <tableColumn name="Column4" id="4"/>
    <tableColumn name="Column5" id="5"/>
    <tableColumn name="Column6" id="6"/>
  </tableColumns>
  <tableStyleInfo name="T1 Detective-style" showColumnStripes="0" showFirstColumn="1" showLastColumn="1" showRowStripes="1"/>
</table>
</file>

<file path=xl/tables/table2.xml><?xml version="1.0" encoding="utf-8"?>
<table xmlns="http://schemas.openxmlformats.org/spreadsheetml/2006/main" headerRowCount="0" ref="A5:I11"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6 Bus Matrix-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D5:D14" displayName="Table_3" name="Table_3" id="3">
  <tableColumns count="1">
    <tableColumn name="Inmon prioritizes a top-down, centralized 3NF enterprise warehouse to meet strict, single-source regulatory requirements first." id="1"/>
  </tableColumns>
  <tableStyleInfo name="T7 Inmon or Kimb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6A6"/>
    <pageSetUpPr fitToPage="1"/>
  </sheetPr>
  <sheetViews>
    <sheetView showGridLines="0" workbookViewId="0"/>
  </sheetViews>
  <sheetFormatPr customHeight="1" defaultColWidth="14.43" defaultRowHeight="15.0"/>
  <cols>
    <col customWidth="1" min="1" max="1" width="12.0"/>
    <col customWidth="1" min="2" max="2" width="46.0"/>
    <col customWidth="1" min="3" max="3" width="22.0"/>
    <col customWidth="1" min="4" max="4" width="40.0"/>
    <col customWidth="1" min="5" max="5" width="13.0"/>
    <col customWidth="1" min="6" max="6" width="34.0"/>
  </cols>
  <sheetData>
    <row r="1" ht="27.75" customHeight="1">
      <c r="A1" s="1" t="s">
        <v>1</v>
      </c>
    </row>
    <row r="2" ht="43.5" customHeight="1">
      <c r="A2" s="3" t="s">
        <v>4</v>
      </c>
    </row>
    <row r="4">
      <c r="A4" s="5" t="s">
        <v>10</v>
      </c>
    </row>
    <row r="5" ht="27.75" customHeight="1">
      <c r="A5" s="8" t="s">
        <v>17</v>
      </c>
      <c r="B5" s="10" t="s">
        <v>18</v>
      </c>
    </row>
    <row r="6" ht="27.75" customHeight="1">
      <c r="A6" s="8" t="s">
        <v>17</v>
      </c>
      <c r="B6" s="10" t="s">
        <v>24</v>
      </c>
    </row>
    <row r="7" ht="27.75" customHeight="1">
      <c r="A7" s="8" t="s">
        <v>17</v>
      </c>
      <c r="B7" s="10" t="s">
        <v>28</v>
      </c>
    </row>
    <row r="8" ht="27.75" customHeight="1">
      <c r="A8" s="8" t="s">
        <v>17</v>
      </c>
      <c r="B8" s="10" t="s">
        <v>31</v>
      </c>
    </row>
    <row r="9" ht="27.75" customHeight="1">
      <c r="A9" s="8" t="s">
        <v>17</v>
      </c>
      <c r="B9" s="10" t="s">
        <v>33</v>
      </c>
    </row>
    <row r="10" ht="27.75" customHeight="1">
      <c r="A10" s="8" t="s">
        <v>17</v>
      </c>
      <c r="B10" s="10" t="s">
        <v>34</v>
      </c>
    </row>
    <row r="12">
      <c r="A12" s="5" t="s">
        <v>35</v>
      </c>
    </row>
    <row r="13" ht="31.5" customHeight="1">
      <c r="A13" s="11" t="s">
        <v>37</v>
      </c>
      <c r="B13" s="11" t="s">
        <v>41</v>
      </c>
      <c r="C13" s="11" t="s">
        <v>42</v>
      </c>
      <c r="D13" s="11" t="s">
        <v>44</v>
      </c>
      <c r="E13" s="11" t="s">
        <v>48</v>
      </c>
      <c r="F13" s="11" t="s">
        <v>50</v>
      </c>
    </row>
    <row r="14">
      <c r="A14" s="12" t="s">
        <v>64</v>
      </c>
      <c r="B14" s="13" t="s">
        <v>69</v>
      </c>
      <c r="C14" s="13" t="s">
        <v>74</v>
      </c>
      <c r="D14" s="12">
        <v>5.0</v>
      </c>
      <c r="E14" s="12">
        <v>3.0</v>
      </c>
      <c r="F14" s="13" t="s">
        <v>77</v>
      </c>
    </row>
    <row r="15">
      <c r="A15" s="12" t="s">
        <v>79</v>
      </c>
      <c r="B15" s="13" t="s">
        <v>81</v>
      </c>
      <c r="C15" s="13" t="s">
        <v>83</v>
      </c>
      <c r="D15" s="12">
        <v>8.0</v>
      </c>
      <c r="E15" s="12">
        <v>6.0</v>
      </c>
      <c r="F15" s="13" t="s">
        <v>84</v>
      </c>
    </row>
    <row r="16">
      <c r="A16" s="12" t="s">
        <v>87</v>
      </c>
      <c r="B16" s="13" t="s">
        <v>88</v>
      </c>
      <c r="C16" s="13" t="s">
        <v>89</v>
      </c>
      <c r="D16" s="12">
        <v>7.0</v>
      </c>
      <c r="E16" s="12">
        <v>5.0</v>
      </c>
      <c r="F16" s="13" t="s">
        <v>92</v>
      </c>
    </row>
    <row r="17">
      <c r="A17" s="12" t="s">
        <v>95</v>
      </c>
      <c r="B17" s="13" t="s">
        <v>96</v>
      </c>
      <c r="C17" s="13" t="s">
        <v>97</v>
      </c>
      <c r="D17" s="12">
        <v>15.0</v>
      </c>
      <c r="E17" s="12">
        <v>12.0</v>
      </c>
      <c r="F17" s="13" t="s">
        <v>98</v>
      </c>
    </row>
    <row r="18">
      <c r="A18" s="12" t="s">
        <v>104</v>
      </c>
      <c r="B18" s="13" t="s">
        <v>109</v>
      </c>
      <c r="C18" s="13" t="s">
        <v>112</v>
      </c>
      <c r="D18" s="12">
        <v>3.0</v>
      </c>
      <c r="E18" s="12">
        <v>3.0</v>
      </c>
      <c r="F18" s="13" t="s">
        <v>116</v>
      </c>
    </row>
    <row r="19">
      <c r="A19" s="12" t="s">
        <v>119</v>
      </c>
      <c r="B19" s="13" t="s">
        <v>120</v>
      </c>
      <c r="C19" s="13" t="s">
        <v>121</v>
      </c>
      <c r="D19" s="12">
        <v>5.0</v>
      </c>
      <c r="E19" s="12">
        <v>0.0</v>
      </c>
      <c r="F19" s="13" t="s">
        <v>126</v>
      </c>
    </row>
    <row r="20">
      <c r="A20" s="12" t="s">
        <v>127</v>
      </c>
      <c r="B20" s="13" t="s">
        <v>129</v>
      </c>
      <c r="C20" s="13" t="s">
        <v>133</v>
      </c>
      <c r="D20" s="12">
        <v>7.0</v>
      </c>
      <c r="E20" s="12">
        <v>6.0</v>
      </c>
      <c r="F20" s="13" t="s">
        <v>137</v>
      </c>
    </row>
    <row r="21" ht="15.75" customHeight="1">
      <c r="A21" s="12" t="s">
        <v>138</v>
      </c>
      <c r="B21" s="13" t="s">
        <v>139</v>
      </c>
      <c r="C21" s="13" t="s">
        <v>140</v>
      </c>
      <c r="D21" s="12">
        <v>5.0</v>
      </c>
      <c r="E21" s="12">
        <v>5.0</v>
      </c>
      <c r="F21" s="13" t="s">
        <v>141</v>
      </c>
    </row>
    <row r="22" ht="15.75" customHeight="1">
      <c r="A22" s="12" t="s">
        <v>142</v>
      </c>
      <c r="B22" s="13" t="s">
        <v>143</v>
      </c>
      <c r="C22" s="13" t="s">
        <v>144</v>
      </c>
      <c r="D22" s="12">
        <v>5.0</v>
      </c>
      <c r="E22" s="12">
        <v>5.0</v>
      </c>
      <c r="F22" s="13" t="s">
        <v>145</v>
      </c>
    </row>
    <row r="23" ht="15.75" customHeight="1">
      <c r="B23" s="16" t="s">
        <v>148</v>
      </c>
      <c r="D23" s="17">
        <f t="shared" ref="D23:E23" si="1">SUM(D14:D22)</f>
        <v>60</v>
      </c>
      <c r="E23" s="17">
        <f t="shared" si="1"/>
        <v>45</v>
      </c>
    </row>
    <row r="24" ht="15.75" customHeight="1"/>
    <row r="25" ht="15.75" customHeight="1">
      <c r="A25" s="5" t="s">
        <v>164</v>
      </c>
    </row>
    <row r="26" ht="15.75" customHeight="1">
      <c r="A26" s="18"/>
      <c r="B26" s="13" t="s">
        <v>165</v>
      </c>
    </row>
    <row r="27" ht="15.75" customHeight="1">
      <c r="A27" s="19"/>
      <c r="B27" s="13" t="s">
        <v>166</v>
      </c>
    </row>
    <row r="28" ht="15.75" customHeight="1">
      <c r="A28" s="20"/>
      <c r="B28" s="13" t="s">
        <v>167</v>
      </c>
    </row>
    <row r="29" ht="15.75" customHeight="1">
      <c r="A29" s="21"/>
      <c r="B29" s="13" t="s">
        <v>168</v>
      </c>
    </row>
    <row r="30" ht="15.75" customHeight="1"/>
    <row r="31" ht="15.75" customHeight="1">
      <c r="A31" s="5" t="s">
        <v>169</v>
      </c>
    </row>
    <row r="32" ht="31.5" customHeight="1">
      <c r="A32" s="11" t="s">
        <v>170</v>
      </c>
      <c r="B32" s="11" t="s">
        <v>171</v>
      </c>
      <c r="C32" s="11" t="s">
        <v>172</v>
      </c>
      <c r="D32" s="11" t="s">
        <v>173</v>
      </c>
    </row>
    <row r="33" ht="15.75" customHeight="1">
      <c r="A33" s="13" t="s">
        <v>174</v>
      </c>
      <c r="B33" s="13" t="s">
        <v>175</v>
      </c>
      <c r="C33" s="13" t="s">
        <v>176</v>
      </c>
      <c r="D33" s="13" t="s">
        <v>177</v>
      </c>
    </row>
    <row r="34" ht="15.75" customHeight="1">
      <c r="A34" s="13" t="s">
        <v>178</v>
      </c>
      <c r="B34" s="13" t="s">
        <v>179</v>
      </c>
      <c r="C34" s="13" t="s">
        <v>180</v>
      </c>
      <c r="D34" s="13" t="s">
        <v>181</v>
      </c>
    </row>
    <row r="35" ht="15.75" customHeight="1">
      <c r="A35" s="13" t="s">
        <v>182</v>
      </c>
      <c r="B35" s="13" t="s">
        <v>175</v>
      </c>
      <c r="C35" s="13"/>
      <c r="D35" s="13"/>
    </row>
    <row r="36" ht="15.75" customHeight="1">
      <c r="A36" s="13" t="s">
        <v>183</v>
      </c>
      <c r="B36" s="13" t="s">
        <v>175</v>
      </c>
      <c r="C36" s="13"/>
      <c r="D36" s="13"/>
    </row>
    <row r="37" ht="15.75" customHeight="1">
      <c r="A37" s="13" t="s">
        <v>184</v>
      </c>
      <c r="B37" s="13" t="s">
        <v>185</v>
      </c>
      <c r="C37" s="13" t="s">
        <v>186</v>
      </c>
      <c r="D37" s="13" t="s">
        <v>187</v>
      </c>
    </row>
    <row r="38" ht="15.75" customHeight="1">
      <c r="A38" s="13" t="s">
        <v>188</v>
      </c>
      <c r="B38" s="13" t="s">
        <v>185</v>
      </c>
      <c r="C38" s="13" t="s">
        <v>189</v>
      </c>
      <c r="D38" s="13" t="s">
        <v>190</v>
      </c>
    </row>
    <row r="39" ht="15.75" customHeight="1">
      <c r="A39" s="13" t="s">
        <v>11</v>
      </c>
      <c r="B39" s="13" t="s">
        <v>175</v>
      </c>
      <c r="C39" s="13" t="s">
        <v>191</v>
      </c>
      <c r="D39" s="13" t="s">
        <v>110</v>
      </c>
    </row>
    <row r="40" ht="15.75" customHeight="1">
      <c r="A40" s="13" t="s">
        <v>192</v>
      </c>
      <c r="B40" s="13" t="s">
        <v>175</v>
      </c>
      <c r="C40" s="13" t="s">
        <v>193</v>
      </c>
      <c r="D40" s="13" t="s">
        <v>194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F2"/>
    <mergeCell ref="B5:F5"/>
    <mergeCell ref="B6:F6"/>
    <mergeCell ref="B7:F7"/>
    <mergeCell ref="B8:F8"/>
    <mergeCell ref="B9:F9"/>
    <mergeCell ref="B10:F10"/>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A3A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3.0"/>
    <col customWidth="1" min="3" max="3" width="15.0"/>
    <col customWidth="1" min="4" max="4" width="20.0"/>
    <col customWidth="1" min="5" max="6" width="12.0"/>
    <col customWidth="1" min="7" max="7" width="14.0"/>
  </cols>
  <sheetData>
    <row r="1" ht="31.5" customHeight="1">
      <c r="A1" s="2" t="s">
        <v>3</v>
      </c>
      <c r="B1" s="2" t="s">
        <v>5</v>
      </c>
      <c r="C1" s="2" t="s">
        <v>6</v>
      </c>
      <c r="D1" s="2" t="s">
        <v>7</v>
      </c>
      <c r="E1" s="2" t="s">
        <v>8</v>
      </c>
      <c r="F1" s="2" t="s">
        <v>9</v>
      </c>
      <c r="G1" s="2" t="s">
        <v>11</v>
      </c>
    </row>
    <row r="2">
      <c r="A2" s="6" t="s">
        <v>12</v>
      </c>
      <c r="B2" s="6" t="s">
        <v>14</v>
      </c>
      <c r="C2" s="6" t="s">
        <v>15</v>
      </c>
      <c r="D2" s="6" t="s">
        <v>16</v>
      </c>
      <c r="E2" s="9">
        <v>18000.0</v>
      </c>
      <c r="F2" s="9">
        <v>142000.0</v>
      </c>
      <c r="G2" s="6" t="s">
        <v>21</v>
      </c>
    </row>
    <row r="3">
      <c r="A3" s="6" t="s">
        <v>49</v>
      </c>
      <c r="B3" s="6" t="s">
        <v>51</v>
      </c>
      <c r="C3" s="6" t="s">
        <v>52</v>
      </c>
      <c r="D3" s="6" t="s">
        <v>53</v>
      </c>
      <c r="E3" s="9">
        <v>22500.0</v>
      </c>
      <c r="F3" s="9">
        <v>171000.0</v>
      </c>
      <c r="G3" s="6" t="s">
        <v>56</v>
      </c>
    </row>
    <row r="4">
      <c r="A4" s="6" t="s">
        <v>58</v>
      </c>
      <c r="B4" s="6" t="s">
        <v>60</v>
      </c>
      <c r="C4" s="6" t="s">
        <v>15</v>
      </c>
      <c r="D4" s="6" t="s">
        <v>16</v>
      </c>
      <c r="E4" s="9">
        <v>15000.0</v>
      </c>
      <c r="F4" s="9">
        <v>119000.0</v>
      </c>
      <c r="G4" s="6" t="s">
        <v>66</v>
      </c>
    </row>
    <row r="5">
      <c r="A5" s="6" t="s">
        <v>67</v>
      </c>
      <c r="B5" s="6" t="s">
        <v>68</v>
      </c>
      <c r="C5" s="6" t="s">
        <v>70</v>
      </c>
      <c r="D5" s="6" t="s">
        <v>71</v>
      </c>
      <c r="E5" s="9">
        <v>20000.0</v>
      </c>
      <c r="F5" s="9">
        <v>188000.0</v>
      </c>
      <c r="G5" s="6" t="s">
        <v>21</v>
      </c>
    </row>
    <row r="6">
      <c r="A6" s="6" t="s">
        <v>76</v>
      </c>
      <c r="B6" s="6" t="s">
        <v>78</v>
      </c>
      <c r="C6" s="6" t="s">
        <v>52</v>
      </c>
      <c r="D6" s="6" t="s">
        <v>63</v>
      </c>
      <c r="E6" s="9">
        <v>16500.0</v>
      </c>
      <c r="F6" s="9">
        <v>128000.0</v>
      </c>
      <c r="G6" s="6" t="s">
        <v>82</v>
      </c>
    </row>
    <row r="7">
      <c r="A7" s="6" t="s">
        <v>85</v>
      </c>
      <c r="B7" s="6" t="s">
        <v>86</v>
      </c>
      <c r="C7" s="6" t="s">
        <v>15</v>
      </c>
      <c r="D7" s="6" t="s">
        <v>94</v>
      </c>
      <c r="E7" s="9">
        <v>19000.0</v>
      </c>
      <c r="F7" s="9">
        <v>154000.0</v>
      </c>
      <c r="G7" s="6" t="s">
        <v>100</v>
      </c>
    </row>
    <row r="8">
      <c r="A8" s="6" t="s">
        <v>102</v>
      </c>
      <c r="B8" s="6" t="s">
        <v>103</v>
      </c>
      <c r="C8" s="6" t="s">
        <v>52</v>
      </c>
      <c r="D8" s="6" t="s">
        <v>16</v>
      </c>
      <c r="E8" s="9">
        <v>14000.0</v>
      </c>
      <c r="F8" s="9">
        <v>109000.0</v>
      </c>
      <c r="G8" s="6" t="s">
        <v>21</v>
      </c>
    </row>
    <row r="9">
      <c r="A9" s="6" t="s">
        <v>107</v>
      </c>
      <c r="B9" s="6" t="s">
        <v>108</v>
      </c>
      <c r="C9" s="6" t="s">
        <v>15</v>
      </c>
      <c r="D9" s="6" t="s">
        <v>75</v>
      </c>
      <c r="E9" s="9">
        <v>21000.0</v>
      </c>
      <c r="F9" s="9">
        <v>197000.0</v>
      </c>
      <c r="G9" s="6" t="s">
        <v>113</v>
      </c>
    </row>
    <row r="10">
      <c r="A10" s="6" t="s">
        <v>115</v>
      </c>
      <c r="B10" s="6" t="s">
        <v>117</v>
      </c>
      <c r="C10" s="6" t="s">
        <v>70</v>
      </c>
      <c r="D10" s="6" t="s">
        <v>101</v>
      </c>
      <c r="E10" s="9">
        <v>17500.0</v>
      </c>
      <c r="F10" s="9">
        <v>98000.0</v>
      </c>
      <c r="G10" s="6" t="s">
        <v>21</v>
      </c>
    </row>
    <row r="11">
      <c r="A11" s="6" t="s">
        <v>123</v>
      </c>
      <c r="B11" s="6" t="s">
        <v>125</v>
      </c>
      <c r="C11" s="6" t="s">
        <v>52</v>
      </c>
      <c r="D11" s="6" t="s">
        <v>128</v>
      </c>
      <c r="E11" s="9">
        <v>15500.0</v>
      </c>
      <c r="F11" s="9">
        <v>139000.0</v>
      </c>
      <c r="G11" s="6" t="s">
        <v>21</v>
      </c>
    </row>
    <row r="12">
      <c r="A12" s="6" t="s">
        <v>132</v>
      </c>
      <c r="B12" s="6" t="s">
        <v>134</v>
      </c>
      <c r="C12" s="6" t="s">
        <v>15</v>
      </c>
      <c r="D12" s="6" t="s">
        <v>47</v>
      </c>
      <c r="E12" s="9">
        <v>13500.0</v>
      </c>
      <c r="F12" s="9">
        <v>61000.0</v>
      </c>
      <c r="G12" s="6" t="s">
        <v>66</v>
      </c>
    </row>
    <row r="13">
      <c r="A13" s="6" t="s">
        <v>160</v>
      </c>
      <c r="B13" s="6" t="s">
        <v>161</v>
      </c>
      <c r="C13" s="6" t="s">
        <v>52</v>
      </c>
      <c r="D13" s="6" t="s">
        <v>16</v>
      </c>
      <c r="E13" s="9">
        <v>14000.0</v>
      </c>
      <c r="F13" s="9">
        <v>112000.0</v>
      </c>
      <c r="G13" s="6"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A3AF"/>
    <pageSetUpPr/>
  </sheetPr>
  <sheetViews>
    <sheetView workbookViewId="0"/>
  </sheetViews>
  <sheetFormatPr customHeight="1" defaultColWidth="14.43" defaultRowHeight="15.0"/>
  <cols>
    <col customWidth="1" min="1" max="1" width="16.0"/>
    <col customWidth="1" min="2" max="2" width="14.0"/>
    <col customWidth="1" min="3" max="3" width="24.0"/>
    <col customWidth="1" min="4" max="4" width="16.0"/>
    <col customWidth="1" min="5" max="5" width="14.0"/>
    <col customWidth="1" min="6" max="6" width="20.0"/>
    <col customWidth="1" min="7" max="7" width="12.0"/>
  </cols>
  <sheetData>
    <row r="1">
      <c r="A1" s="4" t="s">
        <v>0</v>
      </c>
    </row>
    <row r="2">
      <c r="A2" s="7" t="s">
        <v>13</v>
      </c>
    </row>
    <row r="3" ht="31.5" customHeight="1">
      <c r="A3" s="2" t="s">
        <v>19</v>
      </c>
      <c r="B3" s="2" t="s">
        <v>20</v>
      </c>
      <c r="C3" s="2" t="s">
        <v>22</v>
      </c>
      <c r="D3" s="2" t="s">
        <v>23</v>
      </c>
      <c r="E3" s="2" t="s">
        <v>65</v>
      </c>
      <c r="F3" s="2" t="s">
        <v>80</v>
      </c>
      <c r="G3" s="2" t="s">
        <v>11</v>
      </c>
    </row>
    <row r="4">
      <c r="A4" s="6">
        <v>45012.0</v>
      </c>
      <c r="B4" s="14">
        <v>46056.0</v>
      </c>
      <c r="C4" s="6" t="s">
        <v>101</v>
      </c>
      <c r="D4" s="6" t="s">
        <v>39</v>
      </c>
      <c r="E4" s="15">
        <v>32.5</v>
      </c>
      <c r="F4" s="9">
        <v>285000.0</v>
      </c>
      <c r="G4" s="6" t="s">
        <v>110</v>
      </c>
    </row>
    <row r="5">
      <c r="A5" s="6">
        <v>45013.0</v>
      </c>
      <c r="B5" s="14">
        <v>46056.0</v>
      </c>
      <c r="C5" s="6" t="s">
        <v>101</v>
      </c>
      <c r="D5" s="6" t="s">
        <v>114</v>
      </c>
      <c r="E5" s="15">
        <v>28.75</v>
      </c>
      <c r="F5" s="9">
        <v>301000.0</v>
      </c>
      <c r="G5" s="6" t="s">
        <v>43</v>
      </c>
    </row>
    <row r="6">
      <c r="A6" s="6">
        <v>45014.0</v>
      </c>
      <c r="B6" s="14">
        <v>46057.0</v>
      </c>
      <c r="C6" s="6" t="s">
        <v>118</v>
      </c>
      <c r="D6" s="6" t="s">
        <v>57</v>
      </c>
      <c r="E6" s="15">
        <v>30.0</v>
      </c>
      <c r="F6" s="9">
        <v>262000.0</v>
      </c>
      <c r="G6" s="6" t="s">
        <v>136</v>
      </c>
    </row>
    <row r="7">
      <c r="A7" s="6">
        <v>45015.0</v>
      </c>
      <c r="B7" s="14">
        <v>46058.0</v>
      </c>
      <c r="C7" s="6" t="s">
        <v>101</v>
      </c>
      <c r="D7" s="6" t="s">
        <v>63</v>
      </c>
      <c r="E7" s="15">
        <v>26.5</v>
      </c>
      <c r="F7" s="9">
        <v>198000.0</v>
      </c>
      <c r="G7" s="6" t="s">
        <v>151</v>
      </c>
    </row>
    <row r="8">
      <c r="A8" s="6">
        <v>45016.0</v>
      </c>
      <c r="B8" s="14">
        <v>46059.0</v>
      </c>
      <c r="C8" s="6" t="s">
        <v>118</v>
      </c>
      <c r="D8" s="6" t="s">
        <v>39</v>
      </c>
      <c r="E8" s="15">
        <v>31.25</v>
      </c>
      <c r="F8" s="9">
        <v>276000.0</v>
      </c>
      <c r="G8" s="6" t="s">
        <v>100</v>
      </c>
    </row>
    <row r="9">
      <c r="A9" s="6">
        <v>45017.0</v>
      </c>
      <c r="B9" s="14">
        <v>46060.0</v>
      </c>
      <c r="C9" s="6" t="s">
        <v>101</v>
      </c>
      <c r="D9" s="6" t="s">
        <v>156</v>
      </c>
      <c r="E9" s="15">
        <v>29.0</v>
      </c>
      <c r="F9" s="9">
        <v>334000.0</v>
      </c>
      <c r="G9" s="6" t="s">
        <v>158</v>
      </c>
    </row>
    <row r="10">
      <c r="A10" s="6">
        <v>45018.0</v>
      </c>
      <c r="B10" s="14">
        <v>46062.0</v>
      </c>
      <c r="C10" s="6" t="s">
        <v>118</v>
      </c>
      <c r="D10" s="6" t="s">
        <v>114</v>
      </c>
      <c r="E10" s="15">
        <v>27.5</v>
      </c>
      <c r="F10" s="9">
        <v>289000.0</v>
      </c>
      <c r="G10" s="6" t="s">
        <v>99</v>
      </c>
    </row>
    <row r="11">
      <c r="A11" s="6">
        <v>45019.0</v>
      </c>
      <c r="B11" s="14">
        <v>46063.0</v>
      </c>
      <c r="C11" s="6" t="s">
        <v>101</v>
      </c>
      <c r="D11" s="6" t="s">
        <v>39</v>
      </c>
      <c r="E11" s="15">
        <v>33.0</v>
      </c>
      <c r="F11" s="9">
        <v>291000.0</v>
      </c>
      <c r="G11" s="6" t="s">
        <v>110</v>
      </c>
    </row>
    <row r="12">
      <c r="A12" s="6">
        <v>45020.0</v>
      </c>
      <c r="B12" s="14">
        <v>46064.0</v>
      </c>
      <c r="C12" s="6" t="s">
        <v>101</v>
      </c>
      <c r="D12" s="6" t="s">
        <v>93</v>
      </c>
      <c r="E12" s="15">
        <v>28.25</v>
      </c>
      <c r="F12" s="9">
        <v>142000.0</v>
      </c>
      <c r="G12" s="6" t="s">
        <v>163</v>
      </c>
    </row>
    <row r="13">
      <c r="A13" s="6">
        <v>45021.0</v>
      </c>
      <c r="B13" s="14">
        <v>46065.0</v>
      </c>
      <c r="C13" s="6" t="s">
        <v>118</v>
      </c>
      <c r="D13" s="6" t="s">
        <v>63</v>
      </c>
      <c r="E13" s="15">
        <v>28.5</v>
      </c>
      <c r="F13" s="9">
        <v>207000.0</v>
      </c>
      <c r="G13" s="6"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A3A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12.0"/>
    <col customWidth="1" min="4" max="4" width="13.0"/>
    <col customWidth="1" min="5" max="6" width="11.0"/>
    <col customWidth="1" min="7" max="7" width="13.0"/>
  </cols>
  <sheetData>
    <row r="1" ht="31.5" customHeight="1">
      <c r="A1" s="2" t="s">
        <v>2</v>
      </c>
      <c r="B1" s="2" t="s">
        <v>25</v>
      </c>
      <c r="C1" s="2" t="s">
        <v>26</v>
      </c>
      <c r="D1" s="2" t="s">
        <v>27</v>
      </c>
      <c r="E1" s="2" t="s">
        <v>29</v>
      </c>
      <c r="F1" s="2" t="s">
        <v>30</v>
      </c>
      <c r="G1" s="2" t="s">
        <v>32</v>
      </c>
    </row>
    <row r="2">
      <c r="A2" s="6" t="s">
        <v>36</v>
      </c>
      <c r="B2" s="6" t="s">
        <v>38</v>
      </c>
      <c r="C2" s="6" t="s">
        <v>39</v>
      </c>
      <c r="D2" s="6" t="s">
        <v>40</v>
      </c>
      <c r="E2" s="9">
        <v>6500.0</v>
      </c>
      <c r="F2" s="9">
        <v>58000.0</v>
      </c>
      <c r="G2" s="6" t="s">
        <v>43</v>
      </c>
    </row>
    <row r="3">
      <c r="A3" s="6" t="s">
        <v>45</v>
      </c>
      <c r="B3" s="6" t="s">
        <v>38</v>
      </c>
      <c r="C3" s="6" t="s">
        <v>46</v>
      </c>
      <c r="D3" s="6" t="s">
        <v>47</v>
      </c>
      <c r="E3" s="9">
        <v>7200.0</v>
      </c>
      <c r="F3" s="9">
        <v>41000.0</v>
      </c>
      <c r="G3" s="6" t="s">
        <v>43</v>
      </c>
    </row>
    <row r="4">
      <c r="A4" s="6" t="s">
        <v>54</v>
      </c>
      <c r="B4" s="6" t="s">
        <v>55</v>
      </c>
      <c r="C4" s="6" t="s">
        <v>39</v>
      </c>
      <c r="D4" s="6" t="s">
        <v>57</v>
      </c>
      <c r="E4" s="9">
        <v>5800.0</v>
      </c>
      <c r="F4" s="9">
        <v>32000.0</v>
      </c>
      <c r="G4" s="6" t="s">
        <v>59</v>
      </c>
    </row>
    <row r="5">
      <c r="A5" s="6" t="s">
        <v>61</v>
      </c>
      <c r="B5" s="6" t="s">
        <v>62</v>
      </c>
      <c r="C5" s="6" t="s">
        <v>63</v>
      </c>
      <c r="D5" s="6" t="s">
        <v>39</v>
      </c>
      <c r="E5" s="9">
        <v>6900.0</v>
      </c>
      <c r="F5" s="9">
        <v>61000.0</v>
      </c>
      <c r="G5" s="6" t="s">
        <v>43</v>
      </c>
    </row>
    <row r="6">
      <c r="A6" s="6" t="s">
        <v>72</v>
      </c>
      <c r="B6" s="6" t="s">
        <v>73</v>
      </c>
      <c r="C6" s="6" t="s">
        <v>40</v>
      </c>
      <c r="D6" s="6" t="s">
        <v>75</v>
      </c>
      <c r="E6" s="9">
        <v>6100.0</v>
      </c>
      <c r="F6" s="9">
        <v>47000.0</v>
      </c>
      <c r="G6" s="6" t="s">
        <v>43</v>
      </c>
    </row>
    <row r="7">
      <c r="A7" s="6" t="s">
        <v>72</v>
      </c>
      <c r="B7" s="6" t="s">
        <v>73</v>
      </c>
      <c r="C7" s="6" t="s">
        <v>40</v>
      </c>
      <c r="D7" s="6" t="s">
        <v>75</v>
      </c>
      <c r="E7" s="9">
        <v>6100.0</v>
      </c>
      <c r="F7" s="9">
        <v>47000.0</v>
      </c>
      <c r="G7" s="6" t="s">
        <v>43</v>
      </c>
    </row>
    <row r="8">
      <c r="A8" s="6" t="s">
        <v>90</v>
      </c>
      <c r="B8" s="6" t="s">
        <v>91</v>
      </c>
      <c r="C8" s="6" t="s">
        <v>46</v>
      </c>
      <c r="D8" s="6" t="s">
        <v>93</v>
      </c>
      <c r="E8" s="9">
        <v>7400.0</v>
      </c>
      <c r="F8" s="9">
        <v>83000.0</v>
      </c>
      <c r="G8" s="6" t="s">
        <v>99</v>
      </c>
    </row>
    <row r="9">
      <c r="A9" s="6" t="s">
        <v>105</v>
      </c>
      <c r="B9" s="6" t="s">
        <v>106</v>
      </c>
      <c r="C9" s="6" t="s">
        <v>39</v>
      </c>
      <c r="D9" s="6" t="s">
        <v>111</v>
      </c>
      <c r="E9" s="9">
        <v>5900.0</v>
      </c>
      <c r="F9" s="9">
        <v>39000.0</v>
      </c>
      <c r="G9" s="6" t="s">
        <v>43</v>
      </c>
    </row>
    <row r="10">
      <c r="A10" s="6" t="s">
        <v>122</v>
      </c>
      <c r="B10" s="6" t="s">
        <v>124</v>
      </c>
      <c r="C10" s="6" t="s">
        <v>71</v>
      </c>
      <c r="D10" s="6" t="s">
        <v>46</v>
      </c>
      <c r="E10" s="9">
        <v>6600.0</v>
      </c>
      <c r="F10" s="9">
        <v>92000.0</v>
      </c>
      <c r="G10" s="6" t="s">
        <v>130</v>
      </c>
    </row>
    <row r="11">
      <c r="A11" s="6" t="s">
        <v>131</v>
      </c>
      <c r="B11" s="6" t="s">
        <v>135</v>
      </c>
      <c r="C11" s="6" t="s">
        <v>57</v>
      </c>
      <c r="D11" s="6" t="s">
        <v>63</v>
      </c>
      <c r="E11" s="9">
        <v>6200.0</v>
      </c>
      <c r="F11" s="9">
        <v>44000.0</v>
      </c>
      <c r="G11" s="6" t="s">
        <v>146</v>
      </c>
    </row>
    <row r="12">
      <c r="A12" s="6" t="s">
        <v>147</v>
      </c>
      <c r="B12" s="6" t="s">
        <v>149</v>
      </c>
      <c r="C12" s="6" t="s">
        <v>39</v>
      </c>
      <c r="D12" s="6" t="s">
        <v>150</v>
      </c>
      <c r="E12" s="9">
        <v>7000.0</v>
      </c>
      <c r="F12" s="9">
        <v>27000.0</v>
      </c>
      <c r="G12" s="6" t="s">
        <v>43</v>
      </c>
    </row>
    <row r="13">
      <c r="A13" s="6" t="s">
        <v>152</v>
      </c>
      <c r="B13" s="6" t="s">
        <v>153</v>
      </c>
      <c r="C13" s="6" t="s">
        <v>46</v>
      </c>
      <c r="D13" s="6" t="s">
        <v>47</v>
      </c>
      <c r="E13" s="9">
        <v>5500.0</v>
      </c>
      <c r="F13" s="9">
        <v>36000.0</v>
      </c>
      <c r="G13" s="6" t="s">
        <v>154</v>
      </c>
    </row>
    <row r="14">
      <c r="A14" s="6" t="s">
        <v>155</v>
      </c>
      <c r="B14" s="6" t="s">
        <v>157</v>
      </c>
      <c r="C14" s="6" t="s">
        <v>114</v>
      </c>
      <c r="D14" s="6" t="s">
        <v>159</v>
      </c>
      <c r="E14" s="9">
        <v>5800.0</v>
      </c>
      <c r="F14" s="9">
        <v>45000.0</v>
      </c>
      <c r="G14" s="6" t="s">
        <v>43</v>
      </c>
    </row>
    <row r="15">
      <c r="A15" s="6"/>
      <c r="B15" s="6"/>
      <c r="C15" s="6"/>
      <c r="D15" s="6"/>
      <c r="E15" s="9"/>
      <c r="F15" s="9"/>
      <c r="G15" s="6"/>
    </row>
    <row r="16">
      <c r="A16" s="6" t="s">
        <v>162</v>
      </c>
      <c r="B16" s="6"/>
      <c r="C16" s="6"/>
      <c r="D16" s="6"/>
      <c r="E16" s="9">
        <v>83000.0</v>
      </c>
      <c r="F16" s="9">
        <v>652000.0</v>
      </c>
      <c r="G16"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2.14"/>
    <col customWidth="1" min="3" max="3" width="35.43"/>
    <col customWidth="1" min="4" max="4" width="43.57"/>
    <col customWidth="1" min="5" max="5" width="40.0"/>
    <col customWidth="1" min="6" max="6" width="30.86"/>
    <col customWidth="1" min="7" max="7" width="33.86"/>
  </cols>
  <sheetData>
    <row r="1" ht="27.75" customHeight="1">
      <c r="A1" s="1" t="s">
        <v>208</v>
      </c>
    </row>
    <row r="2" ht="43.5" customHeight="1">
      <c r="A2" s="3" t="s">
        <v>210</v>
      </c>
    </row>
    <row r="4" ht="31.5" customHeight="1">
      <c r="A4" s="11" t="s">
        <v>37</v>
      </c>
      <c r="B4" s="11" t="s">
        <v>211</v>
      </c>
      <c r="C4" s="11" t="s">
        <v>212</v>
      </c>
      <c r="D4" s="11" t="s">
        <v>213</v>
      </c>
      <c r="E4" s="11" t="s">
        <v>214</v>
      </c>
      <c r="F4" s="11" t="s">
        <v>215</v>
      </c>
      <c r="G4" s="11" t="s">
        <v>216</v>
      </c>
    </row>
    <row r="5" ht="30.0" customHeight="1">
      <c r="A5" s="24">
        <v>1.0</v>
      </c>
      <c r="B5" s="24" t="s">
        <v>218</v>
      </c>
      <c r="C5" s="24" t="s">
        <v>219</v>
      </c>
      <c r="D5" s="24" t="s">
        <v>220</v>
      </c>
      <c r="E5" s="24" t="s">
        <v>221</v>
      </c>
      <c r="F5" s="26" t="s">
        <v>222</v>
      </c>
      <c r="G5" s="24" t="s">
        <v>223</v>
      </c>
    </row>
    <row r="6" ht="48.0" customHeight="1">
      <c r="A6" s="24">
        <v>2.0</v>
      </c>
      <c r="B6" s="29" t="s">
        <v>194</v>
      </c>
      <c r="C6" s="29" t="s">
        <v>224</v>
      </c>
      <c r="D6" s="30" t="s">
        <v>225</v>
      </c>
      <c r="E6" s="30" t="s">
        <v>226</v>
      </c>
      <c r="F6" s="31" t="s">
        <v>227</v>
      </c>
      <c r="G6" s="30" t="s">
        <v>228</v>
      </c>
    </row>
    <row r="7" ht="46.5" customHeight="1">
      <c r="A7" s="24">
        <v>3.0</v>
      </c>
      <c r="B7" s="32" t="s">
        <v>229</v>
      </c>
      <c r="C7" s="32" t="s">
        <v>230</v>
      </c>
      <c r="D7" s="33" t="s">
        <v>231</v>
      </c>
      <c r="E7" s="33" t="s">
        <v>232</v>
      </c>
      <c r="F7" s="36" t="s">
        <v>227</v>
      </c>
      <c r="G7" s="33" t="s">
        <v>235</v>
      </c>
    </row>
    <row r="8" ht="47.25" customHeight="1">
      <c r="A8" s="24">
        <v>4.0</v>
      </c>
      <c r="B8" s="29" t="s">
        <v>229</v>
      </c>
      <c r="C8" s="29" t="s">
        <v>236</v>
      </c>
      <c r="D8" s="30" t="s">
        <v>237</v>
      </c>
      <c r="E8" s="30" t="s">
        <v>238</v>
      </c>
      <c r="F8" s="31" t="s">
        <v>227</v>
      </c>
      <c r="G8" s="30" t="s">
        <v>239</v>
      </c>
    </row>
    <row r="9" ht="51.0" customHeight="1">
      <c r="A9" s="24">
        <v>5.0</v>
      </c>
      <c r="B9" s="32" t="s">
        <v>229</v>
      </c>
      <c r="C9" s="32" t="s">
        <v>240</v>
      </c>
      <c r="D9" s="33" t="s">
        <v>241</v>
      </c>
      <c r="E9" s="33" t="s">
        <v>242</v>
      </c>
      <c r="F9" s="36" t="s">
        <v>227</v>
      </c>
      <c r="G9" s="33" t="s">
        <v>243</v>
      </c>
    </row>
    <row r="10" ht="59.25" customHeight="1">
      <c r="A10" s="24">
        <v>6.0</v>
      </c>
      <c r="B10" s="29" t="s">
        <v>245</v>
      </c>
      <c r="C10" s="29" t="s">
        <v>246</v>
      </c>
      <c r="D10" s="30" t="s">
        <v>247</v>
      </c>
      <c r="E10" s="30" t="s">
        <v>248</v>
      </c>
      <c r="F10" s="31" t="s">
        <v>227</v>
      </c>
      <c r="G10" s="30" t="s">
        <v>249</v>
      </c>
    </row>
    <row r="11" ht="61.5" customHeight="1">
      <c r="A11" s="24">
        <v>7.0</v>
      </c>
      <c r="B11" s="32" t="s">
        <v>245</v>
      </c>
      <c r="C11" s="32" t="s">
        <v>11</v>
      </c>
      <c r="D11" s="33" t="s">
        <v>250</v>
      </c>
      <c r="E11" s="33" t="s">
        <v>251</v>
      </c>
      <c r="F11" s="36" t="s">
        <v>227</v>
      </c>
      <c r="G11" s="33" t="s">
        <v>252</v>
      </c>
    </row>
    <row r="12" ht="62.25" customHeight="1">
      <c r="A12" s="24">
        <v>8.0</v>
      </c>
      <c r="B12" s="29" t="s">
        <v>245</v>
      </c>
      <c r="C12" s="29" t="s">
        <v>254</v>
      </c>
      <c r="D12" s="30" t="s">
        <v>255</v>
      </c>
      <c r="E12" s="30" t="s">
        <v>256</v>
      </c>
      <c r="F12" s="31" t="s">
        <v>227</v>
      </c>
      <c r="G12" s="30" t="s">
        <v>258</v>
      </c>
    </row>
    <row r="13" ht="52.5" customHeight="1">
      <c r="A13" s="24">
        <v>9.0</v>
      </c>
      <c r="B13" s="32" t="s">
        <v>194</v>
      </c>
      <c r="C13" s="32" t="s">
        <v>259</v>
      </c>
      <c r="D13" s="33" t="s">
        <v>260</v>
      </c>
      <c r="E13" s="33" t="s">
        <v>261</v>
      </c>
      <c r="F13" s="36" t="s">
        <v>262</v>
      </c>
      <c r="G13" s="33" t="s">
        <v>263</v>
      </c>
    </row>
    <row r="14" ht="73.5" customHeight="1">
      <c r="A14" s="24">
        <v>10.0</v>
      </c>
      <c r="B14" s="29" t="s">
        <v>245</v>
      </c>
      <c r="C14" s="29" t="s">
        <v>264</v>
      </c>
      <c r="D14" s="30" t="s">
        <v>265</v>
      </c>
      <c r="E14" s="30" t="s">
        <v>266</v>
      </c>
      <c r="F14" s="31" t="s">
        <v>227</v>
      </c>
      <c r="G14" s="30" t="s">
        <v>267</v>
      </c>
    </row>
    <row r="15" ht="61.5" customHeight="1">
      <c r="A15" s="24">
        <v>11.0</v>
      </c>
      <c r="B15" s="32" t="s">
        <v>245</v>
      </c>
      <c r="C15" s="32" t="s">
        <v>268</v>
      </c>
      <c r="D15" s="33" t="s">
        <v>269</v>
      </c>
      <c r="E15" s="33" t="s">
        <v>270</v>
      </c>
      <c r="F15" s="36" t="s">
        <v>271</v>
      </c>
      <c r="G15" s="33" t="s">
        <v>272</v>
      </c>
    </row>
    <row r="16" ht="30.0" customHeight="1">
      <c r="A16" s="12">
        <v>12.0</v>
      </c>
      <c r="B16" s="18"/>
      <c r="C16" s="18"/>
      <c r="D16" s="18"/>
      <c r="E16" s="18"/>
      <c r="F16" s="18"/>
      <c r="G16" s="18"/>
    </row>
    <row r="18">
      <c r="D18" s="42" t="s">
        <v>276</v>
      </c>
      <c r="E18" s="16">
        <f>COUNTA(D5:D16)</f>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rintOptions/>
  <pageMargins bottom="1.0" footer="0.0" header="0.0" left="0.75" right="0.75" top="1.0"/>
  <pageSetup fitToHeight="0"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44.0"/>
    <col customWidth="1" min="3" max="3" width="22.0"/>
    <col customWidth="1" min="4" max="4" width="12.0"/>
    <col customWidth="1" min="5" max="5" width="16.0"/>
    <col customWidth="1" min="6" max="6" width="34.0"/>
  </cols>
  <sheetData>
    <row r="1" ht="27.75" customHeight="1">
      <c r="A1" s="1" t="s">
        <v>195</v>
      </c>
    </row>
    <row r="2" ht="43.5" customHeight="1">
      <c r="A2" s="3" t="s">
        <v>197</v>
      </c>
    </row>
    <row r="4" ht="31.5" customHeight="1">
      <c r="A4" s="11" t="s">
        <v>200</v>
      </c>
      <c r="B4" s="11" t="s">
        <v>201</v>
      </c>
      <c r="C4" s="11" t="s">
        <v>202</v>
      </c>
      <c r="D4" s="11" t="s">
        <v>203</v>
      </c>
      <c r="E4" s="11" t="s">
        <v>204</v>
      </c>
      <c r="F4" s="11" t="s">
        <v>205</v>
      </c>
    </row>
    <row r="5" ht="43.5" customHeight="1">
      <c r="A5" s="16" t="s">
        <v>206</v>
      </c>
      <c r="B5" s="13" t="s">
        <v>209</v>
      </c>
      <c r="C5" s="27">
        <f>206500 + 295250 + (166000 - 6100)</f>
        <v>661650</v>
      </c>
      <c r="D5" s="35">
        <f t="shared" ref="D5:D7" si="1">IF(C5="","",C5/1000)</f>
        <v>661.65</v>
      </c>
      <c r="E5" s="37">
        <f t="shared" ref="E5:E7" si="2">IF(C5="","",D5-$D$9)</f>
        <v>83</v>
      </c>
      <c r="F5" s="39" t="s">
        <v>244</v>
      </c>
    </row>
    <row r="6" ht="43.5" customHeight="1">
      <c r="A6" s="16" t="s">
        <v>253</v>
      </c>
      <c r="B6" s="13" t="s">
        <v>257</v>
      </c>
      <c r="C6" s="27">
        <f>206500 + 295.25 + 76900</f>
        <v>283695.25</v>
      </c>
      <c r="D6" s="35">
        <f t="shared" si="1"/>
        <v>283.69525</v>
      </c>
      <c r="E6" s="37">
        <f t="shared" si="2"/>
        <v>-294.95475</v>
      </c>
      <c r="F6" s="39" t="s">
        <v>273</v>
      </c>
    </row>
    <row r="7" ht="43.5" customHeight="1">
      <c r="A7" s="16" t="s">
        <v>274</v>
      </c>
      <c r="B7" s="13" t="s">
        <v>275</v>
      </c>
      <c r="C7" s="27">
        <f>206500 + 295250 + 8300</f>
        <v>510050</v>
      </c>
      <c r="D7" s="35">
        <f t="shared" si="1"/>
        <v>510.05</v>
      </c>
      <c r="E7" s="37">
        <f t="shared" si="2"/>
        <v>-68.6</v>
      </c>
      <c r="F7" s="39" t="s">
        <v>278</v>
      </c>
    </row>
    <row r="9">
      <c r="A9" s="25" t="s">
        <v>279</v>
      </c>
      <c r="B9" s="45" t="s">
        <v>280</v>
      </c>
      <c r="C9" s="46">
        <v>578650.0</v>
      </c>
      <c r="D9" s="48">
        <f>C9/1000</f>
        <v>578.65</v>
      </c>
      <c r="E9" s="45"/>
      <c r="F9" s="45"/>
    </row>
    <row r="11">
      <c r="A11" s="5" t="s">
        <v>282</v>
      </c>
    </row>
    <row r="12" ht="15.0" customHeight="1">
      <c r="A12" s="49" t="s">
        <v>283</v>
      </c>
      <c r="B12" s="50"/>
      <c r="C12" s="50"/>
      <c r="D12" s="50"/>
      <c r="E12" s="50"/>
      <c r="F12" s="51"/>
    </row>
    <row r="13" ht="30.0" customHeight="1">
      <c r="A13" s="52" t="s">
        <v>286</v>
      </c>
    </row>
    <row r="14" ht="15.0" customHeight="1">
      <c r="A14" s="49" t="s">
        <v>287</v>
      </c>
      <c r="B14" s="50"/>
      <c r="C14" s="50"/>
      <c r="D14" s="50"/>
      <c r="E14" s="50"/>
      <c r="F14" s="51"/>
    </row>
    <row r="15" ht="39.0" customHeight="1">
      <c r="A15" s="53" t="s">
        <v>289</v>
      </c>
      <c r="B15" s="54"/>
      <c r="C15" s="54"/>
      <c r="D15" s="54"/>
      <c r="E15" s="54"/>
      <c r="F15" s="55"/>
    </row>
    <row r="16" ht="15.0" customHeight="1">
      <c r="A16" s="49" t="s">
        <v>291</v>
      </c>
      <c r="B16" s="50"/>
      <c r="C16" s="50"/>
      <c r="D16" s="50"/>
      <c r="E16" s="50"/>
      <c r="F16" s="51"/>
    </row>
    <row r="17" ht="33.75" customHeight="1">
      <c r="A17" s="56" t="s">
        <v>292</v>
      </c>
      <c r="B17" s="54"/>
      <c r="C17" s="54"/>
      <c r="D17" s="54"/>
      <c r="E17" s="54"/>
      <c r="F17" s="55"/>
    </row>
    <row r="18" ht="15.0" customHeight="1">
      <c r="A18" s="49" t="s">
        <v>293</v>
      </c>
      <c r="B18" s="50"/>
      <c r="C18" s="50"/>
      <c r="D18" s="50"/>
      <c r="E18" s="50"/>
      <c r="F18" s="51"/>
    </row>
    <row r="19" ht="31.5" customHeight="1">
      <c r="A19" s="57" t="s">
        <v>295</v>
      </c>
      <c r="B19" s="50"/>
      <c r="C19" s="50"/>
      <c r="D19" s="50"/>
      <c r="E19" s="50"/>
      <c r="F19"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8:F18"/>
    <mergeCell ref="A19:F19"/>
    <mergeCell ref="A2:F2"/>
    <mergeCell ref="A12:F12"/>
    <mergeCell ref="A13:F13"/>
    <mergeCell ref="A14:F14"/>
    <mergeCell ref="A15:F15"/>
    <mergeCell ref="A16:F16"/>
    <mergeCell ref="A17:F17"/>
  </mergeCells>
  <printOptions/>
  <pageMargins bottom="1.0" footer="0.0" header="0.0" left="0.75" right="0.75" top="1.0"/>
  <pageSetup fitToHeight="0"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2" width="12.0"/>
    <col customWidth="1" min="3" max="3" width="15.0"/>
    <col customWidth="1" min="4" max="4" width="17.0"/>
    <col customWidth="1" min="5" max="6" width="11.0"/>
    <col customWidth="1" min="7" max="7" width="12.0"/>
    <col customWidth="1" min="8" max="8" width="11.0"/>
    <col customWidth="1" min="9" max="9" width="12.0"/>
    <col customWidth="1" min="10" max="10" width="15.0"/>
    <col customWidth="1" min="11" max="11" width="17.0"/>
    <col customWidth="1" min="12" max="14" width="11.0"/>
    <col customWidth="1" min="15" max="15" width="12.0"/>
    <col customWidth="1" min="16" max="16" width="10.0"/>
    <col customWidth="1" min="17" max="17" width="22.0"/>
    <col customWidth="1" min="18" max="18" width="110.0"/>
  </cols>
  <sheetData>
    <row r="1" ht="27.75" customHeight="1">
      <c r="A1" s="1" t="s">
        <v>196</v>
      </c>
    </row>
    <row r="2" ht="43.5" customHeight="1">
      <c r="A2" s="3" t="s">
        <v>198</v>
      </c>
    </row>
    <row r="3">
      <c r="A3" s="22" t="s">
        <v>199</v>
      </c>
      <c r="H3" s="23" t="s">
        <v>207</v>
      </c>
    </row>
    <row r="4" ht="31.5" customHeight="1">
      <c r="A4" s="2" t="s">
        <v>3</v>
      </c>
      <c r="B4" s="2" t="s">
        <v>5</v>
      </c>
      <c r="C4" s="2" t="s">
        <v>6</v>
      </c>
      <c r="D4" s="2" t="s">
        <v>7</v>
      </c>
      <c r="E4" s="2" t="s">
        <v>8</v>
      </c>
      <c r="F4" s="2" t="s">
        <v>9</v>
      </c>
      <c r="G4" s="2" t="s">
        <v>11</v>
      </c>
      <c r="H4" s="11" t="s">
        <v>174</v>
      </c>
      <c r="I4" s="11" t="s">
        <v>178</v>
      </c>
      <c r="J4" s="11" t="s">
        <v>182</v>
      </c>
      <c r="K4" s="11" t="s">
        <v>183</v>
      </c>
      <c r="L4" s="11" t="s">
        <v>184</v>
      </c>
      <c r="M4" s="11" t="s">
        <v>188</v>
      </c>
      <c r="N4" s="11" t="s">
        <v>11</v>
      </c>
      <c r="O4" s="11" t="s">
        <v>192</v>
      </c>
      <c r="R4" s="25" t="s">
        <v>217</v>
      </c>
    </row>
    <row r="5">
      <c r="A5" s="6" t="s">
        <v>12</v>
      </c>
      <c r="B5" s="6" t="s">
        <v>14</v>
      </c>
      <c r="C5" s="6" t="s">
        <v>15</v>
      </c>
      <c r="D5" s="6" t="s">
        <v>16</v>
      </c>
      <c r="E5" s="28">
        <v>18000.0</v>
      </c>
      <c r="F5" s="9">
        <v>142000.0</v>
      </c>
      <c r="G5" s="6" t="s">
        <v>21</v>
      </c>
      <c r="H5" s="34" t="str">
        <f t="shared" ref="H5:H16" si="2">A5</f>
        <v>MR-1001</v>
      </c>
      <c r="I5" s="38">
        <f t="shared" ref="I5:I16" si="3">DATE(RIGHT(B5,4), MID(B5,4,2), LEFT(B5,2))</f>
        <v>46054</v>
      </c>
      <c r="J5" s="34" t="str">
        <f t="shared" ref="J5:M5" si="1">C5</f>
        <v>Karachi Port</v>
      </c>
      <c r="K5" s="34" t="str">
        <f t="shared" si="1"/>
        <v>Lahore Dry Port</v>
      </c>
      <c r="L5" s="40">
        <f t="shared" si="1"/>
        <v>18000</v>
      </c>
      <c r="M5" s="40">
        <f t="shared" si="1"/>
        <v>142000</v>
      </c>
      <c r="N5" s="41" t="str">
        <f t="shared" ref="N5:N16" si="5">PROPER(TRIM(G5))</f>
        <v>Delivered</v>
      </c>
      <c r="O5" s="41" t="str">
        <f t="shared" ref="O5:O16" si="6">"Marine"</f>
        <v>Marine</v>
      </c>
      <c r="R5" s="43" t="s">
        <v>277</v>
      </c>
    </row>
    <row r="6">
      <c r="A6" s="6" t="s">
        <v>49</v>
      </c>
      <c r="B6" s="6" t="s">
        <v>51</v>
      </c>
      <c r="C6" s="6" t="s">
        <v>52</v>
      </c>
      <c r="D6" s="6" t="s">
        <v>53</v>
      </c>
      <c r="E6" s="28">
        <v>22500.0</v>
      </c>
      <c r="F6" s="9">
        <v>171000.0</v>
      </c>
      <c r="G6" s="6" t="s">
        <v>56</v>
      </c>
      <c r="H6" s="34" t="str">
        <f t="shared" si="2"/>
        <v>MR-1002</v>
      </c>
      <c r="I6" s="38">
        <f t="shared" si="3"/>
        <v>46055</v>
      </c>
      <c r="J6" s="34" t="str">
        <f t="shared" ref="J6:M6" si="4">C6</f>
        <v>Port Qasim</v>
      </c>
      <c r="K6" s="34" t="str">
        <f t="shared" si="4"/>
        <v>Faisalabad Dry Port</v>
      </c>
      <c r="L6" s="40">
        <f t="shared" si="4"/>
        <v>22500</v>
      </c>
      <c r="M6" s="40">
        <f t="shared" si="4"/>
        <v>171000</v>
      </c>
      <c r="N6" s="41" t="str">
        <f t="shared" si="5"/>
        <v>Delivered</v>
      </c>
      <c r="O6" s="41" t="str">
        <f t="shared" si="6"/>
        <v>Marine</v>
      </c>
      <c r="R6" s="43" t="s">
        <v>281</v>
      </c>
    </row>
    <row r="7">
      <c r="A7" s="6" t="s">
        <v>58</v>
      </c>
      <c r="B7" s="6" t="s">
        <v>60</v>
      </c>
      <c r="C7" s="6" t="s">
        <v>15</v>
      </c>
      <c r="D7" s="6" t="s">
        <v>16</v>
      </c>
      <c r="E7" s="28">
        <v>15000.0</v>
      </c>
      <c r="F7" s="9">
        <v>119000.0</v>
      </c>
      <c r="G7" s="6" t="s">
        <v>66</v>
      </c>
      <c r="H7" s="34" t="str">
        <f t="shared" si="2"/>
        <v>MR-1003</v>
      </c>
      <c r="I7" s="38">
        <f t="shared" si="3"/>
        <v>46056</v>
      </c>
      <c r="J7" s="34" t="str">
        <f t="shared" ref="J7:M7" si="7">C7</f>
        <v>Karachi Port</v>
      </c>
      <c r="K7" s="34" t="str">
        <f t="shared" si="7"/>
        <v>Lahore Dry Port</v>
      </c>
      <c r="L7" s="40">
        <f t="shared" si="7"/>
        <v>15000</v>
      </c>
      <c r="M7" s="40">
        <f t="shared" si="7"/>
        <v>119000</v>
      </c>
      <c r="N7" s="41" t="str">
        <f t="shared" si="5"/>
        <v>In Transit</v>
      </c>
      <c r="O7" s="41" t="str">
        <f t="shared" si="6"/>
        <v>Marine</v>
      </c>
      <c r="R7" s="43" t="s">
        <v>284</v>
      </c>
    </row>
    <row r="8">
      <c r="A8" s="6" t="s">
        <v>67</v>
      </c>
      <c r="B8" s="6" t="s">
        <v>68</v>
      </c>
      <c r="C8" s="6" t="s">
        <v>70</v>
      </c>
      <c r="D8" s="6" t="s">
        <v>71</v>
      </c>
      <c r="E8" s="28">
        <v>20000.0</v>
      </c>
      <c r="F8" s="9">
        <v>188000.0</v>
      </c>
      <c r="G8" s="6" t="s">
        <v>21</v>
      </c>
      <c r="H8" s="34" t="str">
        <f t="shared" si="2"/>
        <v>MR-1004</v>
      </c>
      <c r="I8" s="38">
        <f t="shared" si="3"/>
        <v>46057</v>
      </c>
      <c r="J8" s="34" t="str">
        <f t="shared" ref="J8:M8" si="8">C8</f>
        <v>Gwadar Port</v>
      </c>
      <c r="K8" s="34" t="str">
        <f t="shared" si="8"/>
        <v>Quetta</v>
      </c>
      <c r="L8" s="40">
        <f t="shared" si="8"/>
        <v>20000</v>
      </c>
      <c r="M8" s="40">
        <f t="shared" si="8"/>
        <v>188000</v>
      </c>
      <c r="N8" s="41" t="str">
        <f t="shared" si="5"/>
        <v>Delivered</v>
      </c>
      <c r="O8" s="41" t="str">
        <f t="shared" si="6"/>
        <v>Marine</v>
      </c>
      <c r="R8" s="43" t="s">
        <v>288</v>
      </c>
    </row>
    <row r="9">
      <c r="A9" s="6" t="s">
        <v>76</v>
      </c>
      <c r="B9" s="6" t="s">
        <v>78</v>
      </c>
      <c r="C9" s="6" t="s">
        <v>52</v>
      </c>
      <c r="D9" s="6" t="s">
        <v>63</v>
      </c>
      <c r="E9" s="28">
        <v>16500.0</v>
      </c>
      <c r="F9" s="9">
        <v>128000.0</v>
      </c>
      <c r="G9" s="6" t="s">
        <v>82</v>
      </c>
      <c r="H9" s="34" t="str">
        <f t="shared" si="2"/>
        <v>MR-1005</v>
      </c>
      <c r="I9" s="38">
        <f t="shared" si="3"/>
        <v>46058</v>
      </c>
      <c r="J9" s="34" t="str">
        <f t="shared" ref="J9:M9" si="9">C9</f>
        <v>Port Qasim</v>
      </c>
      <c r="K9" s="34" t="str">
        <f t="shared" si="9"/>
        <v>Multan</v>
      </c>
      <c r="L9" s="40">
        <f t="shared" si="9"/>
        <v>16500</v>
      </c>
      <c r="M9" s="40">
        <f t="shared" si="9"/>
        <v>128000</v>
      </c>
      <c r="N9" s="41" t="str">
        <f t="shared" si="5"/>
        <v>Delivered</v>
      </c>
      <c r="O9" s="41" t="str">
        <f t="shared" si="6"/>
        <v>Marine</v>
      </c>
    </row>
    <row r="10">
      <c r="A10" s="6" t="s">
        <v>85</v>
      </c>
      <c r="B10" s="6" t="s">
        <v>86</v>
      </c>
      <c r="C10" s="6" t="s">
        <v>15</v>
      </c>
      <c r="D10" s="6" t="s">
        <v>94</v>
      </c>
      <c r="E10" s="28">
        <v>19000.0</v>
      </c>
      <c r="F10" s="9">
        <v>154000.0</v>
      </c>
      <c r="G10" s="6" t="s">
        <v>100</v>
      </c>
      <c r="H10" s="34" t="str">
        <f t="shared" si="2"/>
        <v>MR-1006</v>
      </c>
      <c r="I10" s="38">
        <f t="shared" si="3"/>
        <v>46059</v>
      </c>
      <c r="J10" s="34" t="str">
        <f t="shared" ref="J10:M10" si="10">C10</f>
        <v>Karachi Port</v>
      </c>
      <c r="K10" s="34" t="str">
        <f t="shared" si="10"/>
        <v>Sialkot Dry Port</v>
      </c>
      <c r="L10" s="40">
        <f t="shared" si="10"/>
        <v>19000</v>
      </c>
      <c r="M10" s="40">
        <f t="shared" si="10"/>
        <v>154000</v>
      </c>
      <c r="N10" s="41" t="str">
        <f t="shared" si="5"/>
        <v>Delayed</v>
      </c>
      <c r="O10" s="41" t="str">
        <f t="shared" si="6"/>
        <v>Marine</v>
      </c>
    </row>
    <row r="11">
      <c r="A11" s="6" t="s">
        <v>102</v>
      </c>
      <c r="B11" s="6" t="s">
        <v>103</v>
      </c>
      <c r="C11" s="6" t="s">
        <v>52</v>
      </c>
      <c r="D11" s="6" t="s">
        <v>16</v>
      </c>
      <c r="E11" s="28">
        <v>14000.0</v>
      </c>
      <c r="F11" s="9">
        <v>109000.0</v>
      </c>
      <c r="G11" s="6" t="s">
        <v>21</v>
      </c>
      <c r="H11" s="34" t="str">
        <f t="shared" si="2"/>
        <v>MR-1007</v>
      </c>
      <c r="I11" s="38">
        <f t="shared" si="3"/>
        <v>46060</v>
      </c>
      <c r="J11" s="34" t="str">
        <f t="shared" ref="J11:M11" si="11">C11</f>
        <v>Port Qasim</v>
      </c>
      <c r="K11" s="34" t="str">
        <f t="shared" si="11"/>
        <v>Lahore Dry Port</v>
      </c>
      <c r="L11" s="40">
        <f t="shared" si="11"/>
        <v>14000</v>
      </c>
      <c r="M11" s="40">
        <f t="shared" si="11"/>
        <v>109000</v>
      </c>
      <c r="N11" s="41" t="str">
        <f t="shared" si="5"/>
        <v>Delivered</v>
      </c>
      <c r="O11" s="41" t="str">
        <f t="shared" si="6"/>
        <v>Marine</v>
      </c>
    </row>
    <row r="12">
      <c r="A12" s="6" t="s">
        <v>107</v>
      </c>
      <c r="B12" s="6" t="s">
        <v>108</v>
      </c>
      <c r="C12" s="6" t="s">
        <v>15</v>
      </c>
      <c r="D12" s="6" t="s">
        <v>75</v>
      </c>
      <c r="E12" s="28">
        <v>21000.0</v>
      </c>
      <c r="F12" s="9">
        <v>197000.0</v>
      </c>
      <c r="G12" s="6" t="s">
        <v>113</v>
      </c>
      <c r="H12" s="34" t="str">
        <f t="shared" si="2"/>
        <v>MR-1008</v>
      </c>
      <c r="I12" s="38">
        <f t="shared" si="3"/>
        <v>46062</v>
      </c>
      <c r="J12" s="34" t="str">
        <f t="shared" ref="J12:M12" si="12">C12</f>
        <v>Karachi Port</v>
      </c>
      <c r="K12" s="34" t="str">
        <f t="shared" si="12"/>
        <v>Peshawar</v>
      </c>
      <c r="L12" s="40">
        <f t="shared" si="12"/>
        <v>21000</v>
      </c>
      <c r="M12" s="40">
        <f t="shared" si="12"/>
        <v>197000</v>
      </c>
      <c r="N12" s="41" t="str">
        <f t="shared" si="5"/>
        <v>In Transit</v>
      </c>
      <c r="O12" s="41" t="str">
        <f t="shared" si="6"/>
        <v>Marine</v>
      </c>
    </row>
    <row r="13">
      <c r="A13" s="6" t="s">
        <v>115</v>
      </c>
      <c r="B13" s="6" t="s">
        <v>117</v>
      </c>
      <c r="C13" s="6" t="s">
        <v>70</v>
      </c>
      <c r="D13" s="6" t="s">
        <v>101</v>
      </c>
      <c r="E13" s="28">
        <v>17500.0</v>
      </c>
      <c r="F13" s="9">
        <v>98000.0</v>
      </c>
      <c r="G13" s="6" t="s">
        <v>21</v>
      </c>
      <c r="H13" s="34" t="str">
        <f t="shared" si="2"/>
        <v>MR-1009</v>
      </c>
      <c r="I13" s="38">
        <f t="shared" si="3"/>
        <v>46063</v>
      </c>
      <c r="J13" s="34" t="str">
        <f t="shared" ref="J13:M13" si="13">C13</f>
        <v>Gwadar Port</v>
      </c>
      <c r="K13" s="34" t="str">
        <f t="shared" si="13"/>
        <v>Karachi Cantt</v>
      </c>
      <c r="L13" s="40">
        <f t="shared" si="13"/>
        <v>17500</v>
      </c>
      <c r="M13" s="40">
        <f t="shared" si="13"/>
        <v>98000</v>
      </c>
      <c r="N13" s="41" t="str">
        <f t="shared" si="5"/>
        <v>Delivered</v>
      </c>
      <c r="O13" s="41" t="str">
        <f t="shared" si="6"/>
        <v>Marine</v>
      </c>
    </row>
    <row r="14">
      <c r="A14" s="6" t="s">
        <v>123</v>
      </c>
      <c r="B14" s="6" t="s">
        <v>125</v>
      </c>
      <c r="C14" s="6" t="s">
        <v>52</v>
      </c>
      <c r="D14" s="6" t="s">
        <v>128</v>
      </c>
      <c r="E14" s="28">
        <v>15500.0</v>
      </c>
      <c r="F14" s="9">
        <v>139000.0</v>
      </c>
      <c r="G14" s="6" t="s">
        <v>21</v>
      </c>
      <c r="H14" s="34" t="str">
        <f t="shared" si="2"/>
        <v>MR-1010</v>
      </c>
      <c r="I14" s="38">
        <f t="shared" si="3"/>
        <v>46064</v>
      </c>
      <c r="J14" s="34" t="str">
        <f t="shared" ref="J14:M14" si="14">C14</f>
        <v>Port Qasim</v>
      </c>
      <c r="K14" s="34" t="str">
        <f t="shared" si="14"/>
        <v>Islamabad Dry Port</v>
      </c>
      <c r="L14" s="40">
        <f t="shared" si="14"/>
        <v>15500</v>
      </c>
      <c r="M14" s="40">
        <f t="shared" si="14"/>
        <v>139000</v>
      </c>
      <c r="N14" s="41" t="str">
        <f t="shared" si="5"/>
        <v>Delivered</v>
      </c>
      <c r="O14" s="41" t="str">
        <f t="shared" si="6"/>
        <v>Marine</v>
      </c>
    </row>
    <row r="15">
      <c r="A15" s="6" t="s">
        <v>132</v>
      </c>
      <c r="B15" s="6" t="s">
        <v>134</v>
      </c>
      <c r="C15" s="6" t="s">
        <v>15</v>
      </c>
      <c r="D15" s="6" t="s">
        <v>47</v>
      </c>
      <c r="E15" s="28">
        <v>13500.0</v>
      </c>
      <c r="F15" s="9">
        <v>61000.0</v>
      </c>
      <c r="G15" s="6" t="s">
        <v>66</v>
      </c>
      <c r="H15" s="34" t="str">
        <f t="shared" si="2"/>
        <v>MR-1011</v>
      </c>
      <c r="I15" s="38">
        <f t="shared" si="3"/>
        <v>46065</v>
      </c>
      <c r="J15" s="34" t="str">
        <f t="shared" ref="J15:M15" si="15">C15</f>
        <v>Karachi Port</v>
      </c>
      <c r="K15" s="34" t="str">
        <f t="shared" si="15"/>
        <v>Hyderabad</v>
      </c>
      <c r="L15" s="40">
        <f t="shared" si="15"/>
        <v>13500</v>
      </c>
      <c r="M15" s="40">
        <f t="shared" si="15"/>
        <v>61000</v>
      </c>
      <c r="N15" s="41" t="str">
        <f t="shared" si="5"/>
        <v>In Transit</v>
      </c>
      <c r="O15" s="41" t="str">
        <f t="shared" si="6"/>
        <v>Marine</v>
      </c>
    </row>
    <row r="16">
      <c r="A16" s="6" t="s">
        <v>160</v>
      </c>
      <c r="B16" s="6" t="s">
        <v>161</v>
      </c>
      <c r="C16" s="6" t="s">
        <v>52</v>
      </c>
      <c r="D16" s="6" t="s">
        <v>16</v>
      </c>
      <c r="E16" s="28">
        <v>14000.0</v>
      </c>
      <c r="F16" s="9">
        <v>112000.0</v>
      </c>
      <c r="G16" s="6" t="s">
        <v>21</v>
      </c>
      <c r="H16" s="34" t="str">
        <f t="shared" si="2"/>
        <v>MR-1012</v>
      </c>
      <c r="I16" s="38">
        <f t="shared" si="3"/>
        <v>46066</v>
      </c>
      <c r="J16" s="34" t="str">
        <f t="shared" ref="J16:M16" si="16">C16</f>
        <v>Port Qasim</v>
      </c>
      <c r="K16" s="34" t="str">
        <f t="shared" si="16"/>
        <v>Lahore Dry Port</v>
      </c>
      <c r="L16" s="40">
        <f t="shared" si="16"/>
        <v>14000</v>
      </c>
      <c r="M16" s="40">
        <f t="shared" si="16"/>
        <v>112000</v>
      </c>
      <c r="N16" s="41" t="str">
        <f t="shared" si="5"/>
        <v>Delivered</v>
      </c>
      <c r="O16" s="41" t="str">
        <f t="shared" si="6"/>
        <v>Marine</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P2"/>
    <mergeCell ref="A3:G3"/>
    <mergeCell ref="H3:O3"/>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2" width="12.0"/>
    <col customWidth="1" min="3" max="3" width="15.0"/>
    <col customWidth="1" min="4" max="4" width="17.0"/>
    <col customWidth="1" min="5" max="6" width="11.0"/>
    <col customWidth="1" min="7" max="7" width="12.0"/>
    <col customWidth="1" min="8" max="8" width="11.0"/>
    <col customWidth="1" min="9" max="9" width="12.0"/>
    <col customWidth="1" min="10" max="10" width="15.0"/>
    <col customWidth="1" min="11" max="11" width="17.0"/>
    <col customWidth="1" min="12" max="14" width="11.0"/>
    <col customWidth="1" min="15" max="15" width="12.0"/>
    <col customWidth="1" min="16" max="16" width="10.0"/>
    <col customWidth="1" min="17" max="17" width="22.0"/>
    <col customWidth="1" min="18" max="18" width="110.0"/>
  </cols>
  <sheetData>
    <row r="1" ht="27.75" customHeight="1">
      <c r="A1" s="1" t="s">
        <v>233</v>
      </c>
    </row>
    <row r="2" ht="43.5" customHeight="1">
      <c r="A2" s="3" t="s">
        <v>234</v>
      </c>
    </row>
    <row r="3">
      <c r="A3" s="22" t="s">
        <v>199</v>
      </c>
      <c r="H3" s="23" t="s">
        <v>207</v>
      </c>
    </row>
    <row r="4" ht="31.5" customHeight="1">
      <c r="A4" s="2" t="s">
        <v>19</v>
      </c>
      <c r="B4" s="2" t="s">
        <v>20</v>
      </c>
      <c r="C4" s="2" t="s">
        <v>22</v>
      </c>
      <c r="D4" s="2" t="s">
        <v>23</v>
      </c>
      <c r="E4" s="2" t="s">
        <v>65</v>
      </c>
      <c r="F4" s="2" t="s">
        <v>80</v>
      </c>
      <c r="G4" s="2" t="s">
        <v>11</v>
      </c>
      <c r="H4" s="11" t="s">
        <v>174</v>
      </c>
      <c r="I4" s="11" t="s">
        <v>178</v>
      </c>
      <c r="J4" s="11" t="s">
        <v>182</v>
      </c>
      <c r="K4" s="11" t="s">
        <v>183</v>
      </c>
      <c r="L4" s="11" t="s">
        <v>184</v>
      </c>
      <c r="M4" s="11" t="s">
        <v>188</v>
      </c>
      <c r="N4" s="11" t="s">
        <v>11</v>
      </c>
      <c r="O4" s="11" t="s">
        <v>192</v>
      </c>
      <c r="R4" s="25" t="s">
        <v>217</v>
      </c>
    </row>
    <row r="5">
      <c r="A5" s="6">
        <v>45012.0</v>
      </c>
      <c r="B5" s="14">
        <v>46056.0</v>
      </c>
      <c r="C5" s="6" t="s">
        <v>101</v>
      </c>
      <c r="D5" s="6" t="s">
        <v>39</v>
      </c>
      <c r="E5" s="28">
        <v>32.5</v>
      </c>
      <c r="F5" s="9">
        <v>285000.0</v>
      </c>
      <c r="G5" s="6" t="s">
        <v>110</v>
      </c>
      <c r="H5" s="41" t="str">
        <f t="shared" ref="H5:H14" si="2">"RL-" &amp; A5</f>
        <v>RL-45012</v>
      </c>
      <c r="I5" s="44">
        <f t="shared" ref="I5:K5" si="1">B5</f>
        <v>46056</v>
      </c>
      <c r="J5" s="34" t="str">
        <f t="shared" si="1"/>
        <v>Karachi Cantt</v>
      </c>
      <c r="K5" s="34" t="str">
        <f t="shared" si="1"/>
        <v>Lahore</v>
      </c>
      <c r="L5" s="47">
        <f t="shared" ref="L5:L14" si="4">E5 * 1000</f>
        <v>32500</v>
      </c>
      <c r="M5" s="40">
        <f t="shared" ref="M5:M14" si="5">F5</f>
        <v>285000</v>
      </c>
      <c r="N5" s="41" t="str">
        <f t="shared" ref="N5:N14" si="6">PROPER(TRIM(G5))</f>
        <v>Delivered</v>
      </c>
      <c r="O5" s="41" t="str">
        <f t="shared" ref="O5:O14" si="7">"Rail"</f>
        <v>Rail</v>
      </c>
      <c r="R5" s="43" t="s">
        <v>285</v>
      </c>
    </row>
    <row r="6">
      <c r="A6" s="6">
        <v>45013.0</v>
      </c>
      <c r="B6" s="14">
        <v>46056.0</v>
      </c>
      <c r="C6" s="6" t="s">
        <v>101</v>
      </c>
      <c r="D6" s="6" t="s">
        <v>114</v>
      </c>
      <c r="E6" s="28">
        <v>28.75</v>
      </c>
      <c r="F6" s="9">
        <v>301000.0</v>
      </c>
      <c r="G6" s="6" t="s">
        <v>43</v>
      </c>
      <c r="H6" s="41" t="str">
        <f t="shared" si="2"/>
        <v>RL-45013</v>
      </c>
      <c r="I6" s="44">
        <f t="shared" ref="I6:K6" si="3">B6</f>
        <v>46056</v>
      </c>
      <c r="J6" s="34" t="str">
        <f t="shared" si="3"/>
        <v>Karachi Cantt</v>
      </c>
      <c r="K6" s="34" t="str">
        <f t="shared" si="3"/>
        <v>Rawalpindi</v>
      </c>
      <c r="L6" s="47">
        <f t="shared" si="4"/>
        <v>28750</v>
      </c>
      <c r="M6" s="40">
        <f t="shared" si="5"/>
        <v>301000</v>
      </c>
      <c r="N6" s="41" t="str">
        <f t="shared" si="6"/>
        <v>Delivered</v>
      </c>
      <c r="O6" s="41" t="str">
        <f t="shared" si="7"/>
        <v>Rail</v>
      </c>
      <c r="R6" s="43" t="s">
        <v>290</v>
      </c>
    </row>
    <row r="7">
      <c r="A7" s="6">
        <v>45014.0</v>
      </c>
      <c r="B7" s="14">
        <v>46057.0</v>
      </c>
      <c r="C7" s="6" t="s">
        <v>118</v>
      </c>
      <c r="D7" s="6" t="s">
        <v>57</v>
      </c>
      <c r="E7" s="28">
        <v>30.0</v>
      </c>
      <c r="F7" s="9">
        <v>262000.0</v>
      </c>
      <c r="G7" s="6" t="s">
        <v>136</v>
      </c>
      <c r="H7" s="41" t="str">
        <f t="shared" si="2"/>
        <v>RL-45014</v>
      </c>
      <c r="I7" s="44">
        <f t="shared" ref="I7:K7" si="8">B7</f>
        <v>46057</v>
      </c>
      <c r="J7" s="34" t="str">
        <f t="shared" si="8"/>
        <v>Pipri Marshalling Yard</v>
      </c>
      <c r="K7" s="34" t="str">
        <f t="shared" si="8"/>
        <v>Faisalabad</v>
      </c>
      <c r="L7" s="47">
        <f t="shared" si="4"/>
        <v>30000</v>
      </c>
      <c r="M7" s="40">
        <f t="shared" si="5"/>
        <v>262000</v>
      </c>
      <c r="N7" s="41" t="str">
        <f t="shared" si="6"/>
        <v>In Transit</v>
      </c>
      <c r="O7" s="41" t="str">
        <f t="shared" si="7"/>
        <v>Rail</v>
      </c>
      <c r="R7" s="43" t="s">
        <v>294</v>
      </c>
    </row>
    <row r="8">
      <c r="A8" s="6">
        <v>45015.0</v>
      </c>
      <c r="B8" s="14">
        <v>46058.0</v>
      </c>
      <c r="C8" s="6" t="s">
        <v>101</v>
      </c>
      <c r="D8" s="6" t="s">
        <v>63</v>
      </c>
      <c r="E8" s="28">
        <v>26.5</v>
      </c>
      <c r="F8" s="9">
        <v>198000.0</v>
      </c>
      <c r="G8" s="6" t="s">
        <v>151</v>
      </c>
      <c r="H8" s="41" t="str">
        <f t="shared" si="2"/>
        <v>RL-45015</v>
      </c>
      <c r="I8" s="44">
        <f t="shared" ref="I8:K8" si="9">B8</f>
        <v>46058</v>
      </c>
      <c r="J8" s="34" t="str">
        <f t="shared" si="9"/>
        <v>Karachi Cantt</v>
      </c>
      <c r="K8" s="34" t="str">
        <f t="shared" si="9"/>
        <v>Multan</v>
      </c>
      <c r="L8" s="47">
        <f t="shared" si="4"/>
        <v>26500</v>
      </c>
      <c r="M8" s="40">
        <f t="shared" si="5"/>
        <v>198000</v>
      </c>
      <c r="N8" s="41" t="str">
        <f t="shared" si="6"/>
        <v>Delivered</v>
      </c>
      <c r="O8" s="41" t="str">
        <f t="shared" si="7"/>
        <v>Rail</v>
      </c>
      <c r="R8" s="43" t="s">
        <v>296</v>
      </c>
    </row>
    <row r="9">
      <c r="A9" s="6">
        <v>45016.0</v>
      </c>
      <c r="B9" s="14">
        <v>46059.0</v>
      </c>
      <c r="C9" s="6" t="s">
        <v>118</v>
      </c>
      <c r="D9" s="6" t="s">
        <v>39</v>
      </c>
      <c r="E9" s="28">
        <v>31.25</v>
      </c>
      <c r="F9" s="9">
        <v>276000.0</v>
      </c>
      <c r="G9" s="6" t="s">
        <v>100</v>
      </c>
      <c r="H9" s="41" t="str">
        <f t="shared" si="2"/>
        <v>RL-45016</v>
      </c>
      <c r="I9" s="44">
        <f t="shared" ref="I9:K9" si="10">B9</f>
        <v>46059</v>
      </c>
      <c r="J9" s="34" t="str">
        <f t="shared" si="10"/>
        <v>Pipri Marshalling Yard</v>
      </c>
      <c r="K9" s="34" t="str">
        <f t="shared" si="10"/>
        <v>Lahore</v>
      </c>
      <c r="L9" s="47">
        <f t="shared" si="4"/>
        <v>31250</v>
      </c>
      <c r="M9" s="40">
        <f t="shared" si="5"/>
        <v>276000</v>
      </c>
      <c r="N9" s="41" t="str">
        <f t="shared" si="6"/>
        <v>Delayed</v>
      </c>
      <c r="O9" s="41" t="str">
        <f t="shared" si="7"/>
        <v>Rail</v>
      </c>
    </row>
    <row r="10">
      <c r="A10" s="6">
        <v>45017.0</v>
      </c>
      <c r="B10" s="14">
        <v>46060.0</v>
      </c>
      <c r="C10" s="6" t="s">
        <v>101</v>
      </c>
      <c r="D10" s="6" t="s">
        <v>156</v>
      </c>
      <c r="E10" s="28">
        <v>29.0</v>
      </c>
      <c r="F10" s="9">
        <v>334000.0</v>
      </c>
      <c r="G10" s="6" t="s">
        <v>158</v>
      </c>
      <c r="H10" s="41" t="str">
        <f t="shared" si="2"/>
        <v>RL-45017</v>
      </c>
      <c r="I10" s="44">
        <f t="shared" ref="I10:K10" si="11">B10</f>
        <v>46060</v>
      </c>
      <c r="J10" s="34" t="str">
        <f t="shared" si="11"/>
        <v>Karachi Cantt</v>
      </c>
      <c r="K10" s="34" t="str">
        <f t="shared" si="11"/>
        <v>Peshawar Cantt</v>
      </c>
      <c r="L10" s="47">
        <f t="shared" si="4"/>
        <v>29000</v>
      </c>
      <c r="M10" s="40">
        <f t="shared" si="5"/>
        <v>334000</v>
      </c>
      <c r="N10" s="41" t="str">
        <f t="shared" si="6"/>
        <v>Delivered</v>
      </c>
      <c r="O10" s="41" t="str">
        <f t="shared" si="7"/>
        <v>Rail</v>
      </c>
    </row>
    <row r="11">
      <c r="A11" s="6">
        <v>45018.0</v>
      </c>
      <c r="B11" s="14">
        <v>46062.0</v>
      </c>
      <c r="C11" s="6" t="s">
        <v>118</v>
      </c>
      <c r="D11" s="6" t="s">
        <v>114</v>
      </c>
      <c r="E11" s="28">
        <v>27.5</v>
      </c>
      <c r="F11" s="9">
        <v>289000.0</v>
      </c>
      <c r="G11" s="6" t="s">
        <v>99</v>
      </c>
      <c r="H11" s="41" t="str">
        <f t="shared" si="2"/>
        <v>RL-45018</v>
      </c>
      <c r="I11" s="44">
        <f t="shared" ref="I11:K11" si="12">B11</f>
        <v>46062</v>
      </c>
      <c r="J11" s="34" t="str">
        <f t="shared" si="12"/>
        <v>Pipri Marshalling Yard</v>
      </c>
      <c r="K11" s="34" t="str">
        <f t="shared" si="12"/>
        <v>Rawalpindi</v>
      </c>
      <c r="L11" s="47">
        <f t="shared" si="4"/>
        <v>27500</v>
      </c>
      <c r="M11" s="40">
        <f t="shared" si="5"/>
        <v>289000</v>
      </c>
      <c r="N11" s="41" t="str">
        <f t="shared" si="6"/>
        <v>Delayed</v>
      </c>
      <c r="O11" s="41" t="str">
        <f t="shared" si="7"/>
        <v>Rail</v>
      </c>
    </row>
    <row r="12">
      <c r="A12" s="6">
        <v>45019.0</v>
      </c>
      <c r="B12" s="14">
        <v>46063.0</v>
      </c>
      <c r="C12" s="6" t="s">
        <v>101</v>
      </c>
      <c r="D12" s="6" t="s">
        <v>39</v>
      </c>
      <c r="E12" s="28">
        <v>33.0</v>
      </c>
      <c r="F12" s="9">
        <v>291000.0</v>
      </c>
      <c r="G12" s="6" t="s">
        <v>110</v>
      </c>
      <c r="H12" s="41" t="str">
        <f t="shared" si="2"/>
        <v>RL-45019</v>
      </c>
      <c r="I12" s="44">
        <f t="shared" ref="I12:K12" si="13">B12</f>
        <v>46063</v>
      </c>
      <c r="J12" s="34" t="str">
        <f t="shared" si="13"/>
        <v>Karachi Cantt</v>
      </c>
      <c r="K12" s="34" t="str">
        <f t="shared" si="13"/>
        <v>Lahore</v>
      </c>
      <c r="L12" s="47">
        <f t="shared" si="4"/>
        <v>33000</v>
      </c>
      <c r="M12" s="40">
        <f t="shared" si="5"/>
        <v>291000</v>
      </c>
      <c r="N12" s="41" t="str">
        <f t="shared" si="6"/>
        <v>Delivered</v>
      </c>
      <c r="O12" s="41" t="str">
        <f t="shared" si="7"/>
        <v>Rail</v>
      </c>
    </row>
    <row r="13">
      <c r="A13" s="6">
        <v>45020.0</v>
      </c>
      <c r="B13" s="14">
        <v>46064.0</v>
      </c>
      <c r="C13" s="6" t="s">
        <v>101</v>
      </c>
      <c r="D13" s="6" t="s">
        <v>93</v>
      </c>
      <c r="E13" s="28">
        <v>28.25</v>
      </c>
      <c r="F13" s="9">
        <v>142000.0</v>
      </c>
      <c r="G13" s="6" t="s">
        <v>163</v>
      </c>
      <c r="H13" s="41" t="str">
        <f t="shared" si="2"/>
        <v>RL-45020</v>
      </c>
      <c r="I13" s="44">
        <f t="shared" ref="I13:K13" si="14">B13</f>
        <v>46064</v>
      </c>
      <c r="J13" s="34" t="str">
        <f t="shared" si="14"/>
        <v>Karachi Cantt</v>
      </c>
      <c r="K13" s="34" t="str">
        <f t="shared" si="14"/>
        <v>Sukkur</v>
      </c>
      <c r="L13" s="47">
        <f t="shared" si="4"/>
        <v>28250</v>
      </c>
      <c r="M13" s="40">
        <f t="shared" si="5"/>
        <v>142000</v>
      </c>
      <c r="N13" s="41" t="str">
        <f t="shared" si="6"/>
        <v>In Transit</v>
      </c>
      <c r="O13" s="41" t="str">
        <f t="shared" si="7"/>
        <v>Rail</v>
      </c>
    </row>
    <row r="14">
      <c r="A14" s="6">
        <v>45021.0</v>
      </c>
      <c r="B14" s="14">
        <v>46065.0</v>
      </c>
      <c r="C14" s="6" t="s">
        <v>118</v>
      </c>
      <c r="D14" s="6" t="s">
        <v>63</v>
      </c>
      <c r="E14" s="28">
        <v>28.5</v>
      </c>
      <c r="F14" s="9">
        <v>207000.0</v>
      </c>
      <c r="G14" s="6" t="s">
        <v>43</v>
      </c>
      <c r="H14" s="41" t="str">
        <f t="shared" si="2"/>
        <v>RL-45021</v>
      </c>
      <c r="I14" s="44">
        <f t="shared" ref="I14:K14" si="15">B14</f>
        <v>46065</v>
      </c>
      <c r="J14" s="34" t="str">
        <f t="shared" si="15"/>
        <v>Pipri Marshalling Yard</v>
      </c>
      <c r="K14" s="34" t="str">
        <f t="shared" si="15"/>
        <v>Multan</v>
      </c>
      <c r="L14" s="47">
        <f t="shared" si="4"/>
        <v>28500</v>
      </c>
      <c r="M14" s="40">
        <f t="shared" si="5"/>
        <v>207000</v>
      </c>
      <c r="N14" s="41" t="str">
        <f t="shared" si="6"/>
        <v>Delivered</v>
      </c>
      <c r="O14" s="41" t="str">
        <f t="shared" si="7"/>
        <v>Rail</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P2"/>
    <mergeCell ref="A3:G3"/>
    <mergeCell ref="H3:O3"/>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2" width="12.0"/>
    <col customWidth="1" min="3" max="3" width="15.0"/>
    <col customWidth="1" min="4" max="4" width="17.0"/>
    <col customWidth="1" min="5" max="6" width="11.0"/>
    <col customWidth="1" min="7" max="7" width="12.0"/>
    <col customWidth="1" min="8" max="8" width="11.0"/>
    <col customWidth="1" min="9" max="9" width="12.0"/>
    <col customWidth="1" min="10" max="10" width="15.0"/>
    <col customWidth="1" min="11" max="11" width="17.0"/>
    <col customWidth="1" min="12" max="14" width="11.0"/>
    <col customWidth="1" min="15" max="15" width="12.0"/>
    <col customWidth="1" min="16" max="16" width="10.0"/>
    <col customWidth="1" min="17" max="17" width="54.29"/>
    <col customWidth="1" min="18" max="18" width="110.0"/>
  </cols>
  <sheetData>
    <row r="1" ht="27.75" customHeight="1">
      <c r="A1" s="1" t="s">
        <v>297</v>
      </c>
    </row>
    <row r="2" ht="43.5" customHeight="1">
      <c r="A2" s="3" t="s">
        <v>298</v>
      </c>
    </row>
    <row r="3">
      <c r="A3" s="22" t="s">
        <v>199</v>
      </c>
      <c r="H3" s="23" t="s">
        <v>207</v>
      </c>
    </row>
    <row r="4" ht="31.5" customHeight="1">
      <c r="A4" s="2" t="s">
        <v>2</v>
      </c>
      <c r="B4" s="2" t="s">
        <v>25</v>
      </c>
      <c r="C4" s="2" t="s">
        <v>26</v>
      </c>
      <c r="D4" s="2" t="s">
        <v>27</v>
      </c>
      <c r="E4" s="2" t="s">
        <v>29</v>
      </c>
      <c r="F4" s="2" t="s">
        <v>30</v>
      </c>
      <c r="G4" s="2" t="s">
        <v>32</v>
      </c>
      <c r="H4" s="11" t="s">
        <v>174</v>
      </c>
      <c r="I4" s="11" t="s">
        <v>178</v>
      </c>
      <c r="J4" s="11" t="s">
        <v>182</v>
      </c>
      <c r="K4" s="11" t="s">
        <v>183</v>
      </c>
      <c r="L4" s="11" t="s">
        <v>184</v>
      </c>
      <c r="M4" s="11" t="s">
        <v>188</v>
      </c>
      <c r="N4" s="11" t="s">
        <v>11</v>
      </c>
      <c r="O4" s="11" t="s">
        <v>192</v>
      </c>
      <c r="P4" s="58" t="s">
        <v>299</v>
      </c>
      <c r="Q4" s="58" t="s">
        <v>300</v>
      </c>
      <c r="R4" s="25" t="s">
        <v>217</v>
      </c>
    </row>
    <row r="5">
      <c r="A5" s="6" t="s">
        <v>36</v>
      </c>
      <c r="B5" s="6" t="s">
        <v>38</v>
      </c>
      <c r="C5" s="6" t="s">
        <v>39</v>
      </c>
      <c r="D5" s="6" t="s">
        <v>40</v>
      </c>
      <c r="E5" s="28">
        <v>6500.0</v>
      </c>
      <c r="F5" s="9">
        <v>58000.0</v>
      </c>
      <c r="G5" s="6" t="s">
        <v>43</v>
      </c>
      <c r="H5" s="41" t="str">
        <f t="shared" ref="H5:H17" si="2">UPPER(A5)</f>
        <v>RD-501</v>
      </c>
      <c r="I5" s="38">
        <f t="shared" ref="I5:I17" si="3">DATE(LEFT(B5,4), MID(B5,6,2), RIGHT(B5,2))</f>
        <v>46055</v>
      </c>
      <c r="J5" s="34" t="str">
        <f t="shared" ref="J5:M5" si="1">IF(C5="","",C5)</f>
        <v>Lahore</v>
      </c>
      <c r="K5" s="34" t="str">
        <f t="shared" si="1"/>
        <v>Islamabad</v>
      </c>
      <c r="L5" s="40">
        <f t="shared" si="1"/>
        <v>6500</v>
      </c>
      <c r="M5" s="40">
        <f t="shared" si="1"/>
        <v>58000</v>
      </c>
      <c r="N5" s="41" t="str">
        <f t="shared" ref="N5:N19" si="5">PROPER(TRIM(G5))</f>
        <v>Delivered</v>
      </c>
      <c r="O5" s="41" t="s">
        <v>229</v>
      </c>
      <c r="P5" s="41" t="s">
        <v>311</v>
      </c>
      <c r="Q5" s="41"/>
      <c r="R5" s="43" t="s">
        <v>312</v>
      </c>
    </row>
    <row r="6">
      <c r="A6" s="6" t="s">
        <v>45</v>
      </c>
      <c r="B6" s="6" t="s">
        <v>38</v>
      </c>
      <c r="C6" s="6" t="s">
        <v>46</v>
      </c>
      <c r="D6" s="6" t="s">
        <v>47</v>
      </c>
      <c r="E6" s="28">
        <v>7200.0</v>
      </c>
      <c r="F6" s="9">
        <v>41000.0</v>
      </c>
      <c r="G6" s="6" t="s">
        <v>43</v>
      </c>
      <c r="H6" s="41" t="str">
        <f t="shared" si="2"/>
        <v>RD-502</v>
      </c>
      <c r="I6" s="38">
        <f t="shared" si="3"/>
        <v>46055</v>
      </c>
      <c r="J6" s="34" t="str">
        <f t="shared" ref="J6:M6" si="4">IF(C6="","",C6)</f>
        <v>Karachi</v>
      </c>
      <c r="K6" s="34" t="str">
        <f t="shared" si="4"/>
        <v>Hyderabad</v>
      </c>
      <c r="L6" s="40">
        <f t="shared" si="4"/>
        <v>7200</v>
      </c>
      <c r="M6" s="40">
        <f t="shared" si="4"/>
        <v>41000</v>
      </c>
      <c r="N6" s="41" t="str">
        <f t="shared" si="5"/>
        <v>Delivered</v>
      </c>
      <c r="O6" s="41" t="s">
        <v>229</v>
      </c>
      <c r="P6" s="41" t="s">
        <v>311</v>
      </c>
      <c r="Q6" s="41"/>
      <c r="R6" s="43" t="s">
        <v>313</v>
      </c>
    </row>
    <row r="7">
      <c r="A7" s="6" t="s">
        <v>54</v>
      </c>
      <c r="B7" s="6" t="s">
        <v>55</v>
      </c>
      <c r="C7" s="6" t="s">
        <v>39</v>
      </c>
      <c r="D7" s="6" t="s">
        <v>57</v>
      </c>
      <c r="E7" s="28">
        <v>5800.0</v>
      </c>
      <c r="F7" s="9">
        <v>32000.0</v>
      </c>
      <c r="G7" s="6" t="s">
        <v>59</v>
      </c>
      <c r="H7" s="41" t="str">
        <f t="shared" si="2"/>
        <v>RD-503</v>
      </c>
      <c r="I7" s="38">
        <f t="shared" si="3"/>
        <v>46056</v>
      </c>
      <c r="J7" s="34" t="str">
        <f t="shared" ref="J7:M7" si="6">IF(C7="","",C7)</f>
        <v>Lahore</v>
      </c>
      <c r="K7" s="34" t="str">
        <f t="shared" si="6"/>
        <v>Faisalabad</v>
      </c>
      <c r="L7" s="40">
        <f t="shared" si="6"/>
        <v>5800</v>
      </c>
      <c r="M7" s="40">
        <f t="shared" si="6"/>
        <v>32000</v>
      </c>
      <c r="N7" s="41" t="str">
        <f t="shared" si="5"/>
        <v>In Transit</v>
      </c>
      <c r="O7" s="41" t="s">
        <v>229</v>
      </c>
      <c r="P7" s="41" t="s">
        <v>311</v>
      </c>
      <c r="Q7" s="41"/>
      <c r="R7" s="43" t="s">
        <v>314</v>
      </c>
    </row>
    <row r="8">
      <c r="A8" s="6" t="s">
        <v>61</v>
      </c>
      <c r="B8" s="6" t="s">
        <v>62</v>
      </c>
      <c r="C8" s="6" t="s">
        <v>63</v>
      </c>
      <c r="D8" s="6" t="s">
        <v>39</v>
      </c>
      <c r="E8" s="28">
        <v>6900.0</v>
      </c>
      <c r="F8" s="9">
        <v>61000.0</v>
      </c>
      <c r="G8" s="6" t="s">
        <v>43</v>
      </c>
      <c r="H8" s="41" t="str">
        <f t="shared" si="2"/>
        <v>RD-504</v>
      </c>
      <c r="I8" s="38">
        <f t="shared" si="3"/>
        <v>46057</v>
      </c>
      <c r="J8" s="34" t="str">
        <f t="shared" ref="J8:M8" si="7">IF(C8="","",C8)</f>
        <v>Multan</v>
      </c>
      <c r="K8" s="34" t="str">
        <f t="shared" si="7"/>
        <v>Lahore</v>
      </c>
      <c r="L8" s="40">
        <f t="shared" si="7"/>
        <v>6900</v>
      </c>
      <c r="M8" s="40">
        <f t="shared" si="7"/>
        <v>61000</v>
      </c>
      <c r="N8" s="41" t="str">
        <f t="shared" si="5"/>
        <v>Delivered</v>
      </c>
      <c r="O8" s="41" t="s">
        <v>229</v>
      </c>
      <c r="P8" s="41" t="s">
        <v>311</v>
      </c>
      <c r="Q8" s="41"/>
      <c r="R8" s="43" t="s">
        <v>315</v>
      </c>
    </row>
    <row r="9">
      <c r="A9" s="6" t="s">
        <v>72</v>
      </c>
      <c r="B9" s="6" t="s">
        <v>73</v>
      </c>
      <c r="C9" s="6" t="s">
        <v>40</v>
      </c>
      <c r="D9" s="6" t="s">
        <v>75</v>
      </c>
      <c r="E9" s="28">
        <v>6100.0</v>
      </c>
      <c r="F9" s="9">
        <v>47000.0</v>
      </c>
      <c r="G9" s="6" t="s">
        <v>43</v>
      </c>
      <c r="H9" s="41" t="str">
        <f t="shared" si="2"/>
        <v>RD-505</v>
      </c>
      <c r="I9" s="38">
        <f t="shared" si="3"/>
        <v>46058</v>
      </c>
      <c r="J9" s="34" t="str">
        <f t="shared" ref="J9:M9" si="8">IF(C9="","",C9)</f>
        <v>Islamabad</v>
      </c>
      <c r="K9" s="34" t="str">
        <f t="shared" si="8"/>
        <v>Peshawar</v>
      </c>
      <c r="L9" s="40">
        <f t="shared" si="8"/>
        <v>6100</v>
      </c>
      <c r="M9" s="40">
        <f t="shared" si="8"/>
        <v>47000</v>
      </c>
      <c r="N9" s="41" t="str">
        <f t="shared" si="5"/>
        <v>Delivered</v>
      </c>
      <c r="O9" s="41" t="s">
        <v>229</v>
      </c>
      <c r="P9" s="41" t="s">
        <v>311</v>
      </c>
      <c r="Q9" s="41"/>
      <c r="R9" s="43" t="s">
        <v>317</v>
      </c>
    </row>
    <row r="10">
      <c r="A10" s="6" t="s">
        <v>72</v>
      </c>
      <c r="B10" s="6" t="s">
        <v>73</v>
      </c>
      <c r="C10" s="6" t="s">
        <v>40</v>
      </c>
      <c r="D10" s="6" t="s">
        <v>75</v>
      </c>
      <c r="E10" s="28">
        <v>6100.0</v>
      </c>
      <c r="F10" s="9">
        <v>47000.0</v>
      </c>
      <c r="G10" s="6" t="s">
        <v>43</v>
      </c>
      <c r="H10" s="41" t="str">
        <f t="shared" si="2"/>
        <v>RD-505</v>
      </c>
      <c r="I10" s="38">
        <f t="shared" si="3"/>
        <v>46058</v>
      </c>
      <c r="J10" s="34" t="str">
        <f t="shared" ref="J10:M10" si="9">IF(C10="","",C10)</f>
        <v>Islamabad</v>
      </c>
      <c r="K10" s="34" t="str">
        <f t="shared" si="9"/>
        <v>Peshawar</v>
      </c>
      <c r="L10" s="40">
        <f t="shared" si="9"/>
        <v>6100</v>
      </c>
      <c r="M10" s="40">
        <f t="shared" si="9"/>
        <v>47000</v>
      </c>
      <c r="N10" s="41" t="str">
        <f t="shared" si="5"/>
        <v>Delivered</v>
      </c>
      <c r="O10" s="41" t="s">
        <v>229</v>
      </c>
      <c r="P10" s="41" t="s">
        <v>318</v>
      </c>
      <c r="Q10" s="63" t="s">
        <v>319</v>
      </c>
    </row>
    <row r="11">
      <c r="A11" s="6" t="s">
        <v>90</v>
      </c>
      <c r="B11" s="6" t="s">
        <v>91</v>
      </c>
      <c r="C11" s="6" t="s">
        <v>46</v>
      </c>
      <c r="D11" s="6" t="s">
        <v>93</v>
      </c>
      <c r="E11" s="28">
        <v>7400.0</v>
      </c>
      <c r="F11" s="9">
        <v>83000.0</v>
      </c>
      <c r="G11" s="6" t="s">
        <v>99</v>
      </c>
      <c r="H11" s="41" t="str">
        <f t="shared" si="2"/>
        <v>RD-506</v>
      </c>
      <c r="I11" s="38">
        <f t="shared" si="3"/>
        <v>46059</v>
      </c>
      <c r="J11" s="34" t="str">
        <f t="shared" ref="J11:M11" si="10">IF(C11="","",C11)</f>
        <v>Karachi</v>
      </c>
      <c r="K11" s="34" t="str">
        <f t="shared" si="10"/>
        <v>Sukkur</v>
      </c>
      <c r="L11" s="40">
        <f t="shared" si="10"/>
        <v>7400</v>
      </c>
      <c r="M11" s="40">
        <f t="shared" si="10"/>
        <v>83000</v>
      </c>
      <c r="N11" s="41" t="str">
        <f t="shared" si="5"/>
        <v>Delayed</v>
      </c>
      <c r="O11" s="41" t="s">
        <v>229</v>
      </c>
      <c r="P11" s="41" t="s">
        <v>311</v>
      </c>
      <c r="Q11" s="41"/>
    </row>
    <row r="12">
      <c r="A12" s="6" t="s">
        <v>105</v>
      </c>
      <c r="B12" s="6" t="s">
        <v>106</v>
      </c>
      <c r="C12" s="6" t="s">
        <v>39</v>
      </c>
      <c r="D12" s="6" t="s">
        <v>111</v>
      </c>
      <c r="E12" s="28">
        <v>5900.0</v>
      </c>
      <c r="F12" s="9">
        <v>39000.0</v>
      </c>
      <c r="G12" s="6" t="s">
        <v>43</v>
      </c>
      <c r="H12" s="41" t="str">
        <f t="shared" si="2"/>
        <v>RD-507</v>
      </c>
      <c r="I12" s="38">
        <f t="shared" si="3"/>
        <v>46060</v>
      </c>
      <c r="J12" s="34" t="str">
        <f t="shared" ref="J12:M12" si="11">IF(C12="","",C12)</f>
        <v>Lahore</v>
      </c>
      <c r="K12" s="34" t="str">
        <f t="shared" si="11"/>
        <v>Sialkot</v>
      </c>
      <c r="L12" s="40">
        <f t="shared" si="11"/>
        <v>5900</v>
      </c>
      <c r="M12" s="40">
        <f t="shared" si="11"/>
        <v>39000</v>
      </c>
      <c r="N12" s="41" t="str">
        <f t="shared" si="5"/>
        <v>Delivered</v>
      </c>
      <c r="O12" s="41" t="s">
        <v>229</v>
      </c>
      <c r="P12" s="41" t="s">
        <v>311</v>
      </c>
      <c r="Q12" s="41"/>
    </row>
    <row r="13">
      <c r="A13" s="6" t="s">
        <v>122</v>
      </c>
      <c r="B13" s="6" t="s">
        <v>124</v>
      </c>
      <c r="C13" s="6" t="s">
        <v>71</v>
      </c>
      <c r="D13" s="6" t="s">
        <v>46</v>
      </c>
      <c r="E13" s="28">
        <v>6600.0</v>
      </c>
      <c r="F13" s="9">
        <v>92000.0</v>
      </c>
      <c r="G13" s="6" t="s">
        <v>130</v>
      </c>
      <c r="H13" s="41" t="str">
        <f t="shared" si="2"/>
        <v>RD-508</v>
      </c>
      <c r="I13" s="38">
        <f t="shared" si="3"/>
        <v>46062</v>
      </c>
      <c r="J13" s="34" t="str">
        <f t="shared" ref="J13:M13" si="12">IF(C13="","",C13)</f>
        <v>Quetta</v>
      </c>
      <c r="K13" s="34" t="str">
        <f t="shared" si="12"/>
        <v>Karachi</v>
      </c>
      <c r="L13" s="40">
        <f t="shared" si="12"/>
        <v>6600</v>
      </c>
      <c r="M13" s="40">
        <f t="shared" si="12"/>
        <v>92000</v>
      </c>
      <c r="N13" s="41" t="str">
        <f t="shared" si="5"/>
        <v>In Transit</v>
      </c>
      <c r="O13" s="41" t="s">
        <v>229</v>
      </c>
      <c r="P13" s="41" t="s">
        <v>311</v>
      </c>
      <c r="Q13" s="41"/>
    </row>
    <row r="14">
      <c r="A14" s="6" t="s">
        <v>131</v>
      </c>
      <c r="B14" s="6" t="s">
        <v>135</v>
      </c>
      <c r="C14" s="6" t="s">
        <v>57</v>
      </c>
      <c r="D14" s="6" t="s">
        <v>63</v>
      </c>
      <c r="E14" s="28">
        <v>6200.0</v>
      </c>
      <c r="F14" s="9">
        <v>44000.0</v>
      </c>
      <c r="G14" s="6" t="s">
        <v>146</v>
      </c>
      <c r="H14" s="41" t="str">
        <f t="shared" si="2"/>
        <v>RD-509</v>
      </c>
      <c r="I14" s="38">
        <f t="shared" si="3"/>
        <v>46063</v>
      </c>
      <c r="J14" s="34" t="str">
        <f t="shared" ref="J14:M14" si="13">IF(C14="","",C14)</f>
        <v>Faisalabad</v>
      </c>
      <c r="K14" s="34" t="str">
        <f t="shared" si="13"/>
        <v>Multan</v>
      </c>
      <c r="L14" s="40">
        <f t="shared" si="13"/>
        <v>6200</v>
      </c>
      <c r="M14" s="40">
        <f t="shared" si="13"/>
        <v>44000</v>
      </c>
      <c r="N14" s="41" t="str">
        <f t="shared" si="5"/>
        <v>Delivered</v>
      </c>
      <c r="O14" s="41" t="s">
        <v>229</v>
      </c>
      <c r="P14" s="41" t="s">
        <v>311</v>
      </c>
      <c r="Q14" s="41"/>
    </row>
    <row r="15">
      <c r="A15" s="6" t="s">
        <v>147</v>
      </c>
      <c r="B15" s="6" t="s">
        <v>149</v>
      </c>
      <c r="C15" s="6" t="s">
        <v>39</v>
      </c>
      <c r="D15" s="6" t="s">
        <v>150</v>
      </c>
      <c r="E15" s="28">
        <v>7000.0</v>
      </c>
      <c r="F15" s="9">
        <v>27000.0</v>
      </c>
      <c r="G15" s="6" t="s">
        <v>43</v>
      </c>
      <c r="H15" s="41" t="str">
        <f t="shared" si="2"/>
        <v>RD-510</v>
      </c>
      <c r="I15" s="38">
        <f t="shared" si="3"/>
        <v>46064</v>
      </c>
      <c r="J15" s="34" t="str">
        <f t="shared" ref="J15:M15" si="14">IF(C15="","",C15)</f>
        <v>Lahore</v>
      </c>
      <c r="K15" s="34" t="str">
        <f t="shared" si="14"/>
        <v>Gujranwala</v>
      </c>
      <c r="L15" s="40">
        <f t="shared" si="14"/>
        <v>7000</v>
      </c>
      <c r="M15" s="40">
        <f t="shared" si="14"/>
        <v>27000</v>
      </c>
      <c r="N15" s="41" t="str">
        <f t="shared" si="5"/>
        <v>Delivered</v>
      </c>
      <c r="O15" s="41" t="s">
        <v>229</v>
      </c>
      <c r="P15" s="41" t="s">
        <v>311</v>
      </c>
      <c r="Q15" s="41"/>
    </row>
    <row r="16">
      <c r="A16" s="6" t="s">
        <v>152</v>
      </c>
      <c r="B16" s="6" t="s">
        <v>153</v>
      </c>
      <c r="C16" s="6" t="s">
        <v>46</v>
      </c>
      <c r="D16" s="6" t="s">
        <v>47</v>
      </c>
      <c r="E16" s="28">
        <v>5500.0</v>
      </c>
      <c r="F16" s="9">
        <v>36000.0</v>
      </c>
      <c r="G16" s="6" t="s">
        <v>154</v>
      </c>
      <c r="H16" s="41" t="str">
        <f t="shared" si="2"/>
        <v>RD-511</v>
      </c>
      <c r="I16" s="38">
        <f t="shared" si="3"/>
        <v>46065</v>
      </c>
      <c r="J16" s="34" t="str">
        <f t="shared" ref="J16:M16" si="15">IF(C16="","",C16)</f>
        <v>Karachi</v>
      </c>
      <c r="K16" s="34" t="str">
        <f t="shared" si="15"/>
        <v>Hyderabad</v>
      </c>
      <c r="L16" s="40">
        <f t="shared" si="15"/>
        <v>5500</v>
      </c>
      <c r="M16" s="40">
        <f t="shared" si="15"/>
        <v>36000</v>
      </c>
      <c r="N16" s="41" t="str">
        <f t="shared" si="5"/>
        <v>In Transit</v>
      </c>
      <c r="O16" s="41" t="s">
        <v>229</v>
      </c>
      <c r="P16" s="41" t="s">
        <v>311</v>
      </c>
      <c r="Q16" s="41"/>
    </row>
    <row r="17">
      <c r="A17" s="6" t="s">
        <v>155</v>
      </c>
      <c r="B17" s="6" t="s">
        <v>157</v>
      </c>
      <c r="C17" s="6" t="s">
        <v>114</v>
      </c>
      <c r="D17" s="6" t="s">
        <v>159</v>
      </c>
      <c r="E17" s="28">
        <v>5800.0</v>
      </c>
      <c r="F17" s="9">
        <v>45000.0</v>
      </c>
      <c r="G17" s="6" t="s">
        <v>43</v>
      </c>
      <c r="H17" s="41" t="str">
        <f t="shared" si="2"/>
        <v>RD-512</v>
      </c>
      <c r="I17" s="38">
        <f t="shared" si="3"/>
        <v>46066</v>
      </c>
      <c r="J17" s="34" t="str">
        <f t="shared" ref="J17:M17" si="16">IF(C17="","",C17)</f>
        <v>Rawalpindi</v>
      </c>
      <c r="K17" s="34" t="str">
        <f t="shared" si="16"/>
        <v>Abbottabad</v>
      </c>
      <c r="L17" s="40">
        <f t="shared" si="16"/>
        <v>5800</v>
      </c>
      <c r="M17" s="40">
        <f t="shared" si="16"/>
        <v>45000</v>
      </c>
      <c r="N17" s="41" t="str">
        <f t="shared" si="5"/>
        <v>Delivered</v>
      </c>
      <c r="O17" s="41" t="s">
        <v>229</v>
      </c>
      <c r="P17" s="41" t="s">
        <v>311</v>
      </c>
      <c r="Q17" s="41"/>
    </row>
    <row r="18">
      <c r="A18" s="6"/>
      <c r="B18" s="6"/>
      <c r="C18" s="6"/>
      <c r="D18" s="6"/>
      <c r="E18" s="28"/>
      <c r="F18" s="9"/>
      <c r="G18" s="6"/>
      <c r="H18" s="41"/>
      <c r="I18" s="38"/>
      <c r="J18" s="34" t="str">
        <f t="shared" ref="J18:M18" si="17">IF(C18="","",C18)</f>
        <v/>
      </c>
      <c r="K18" s="34" t="str">
        <f t="shared" si="17"/>
        <v/>
      </c>
      <c r="L18" s="40" t="str">
        <f t="shared" si="17"/>
        <v/>
      </c>
      <c r="M18" s="40" t="str">
        <f t="shared" si="17"/>
        <v/>
      </c>
      <c r="N18" s="41" t="str">
        <f t="shared" si="5"/>
        <v/>
      </c>
      <c r="O18" s="41"/>
      <c r="P18" s="41" t="s">
        <v>318</v>
      </c>
      <c r="Q18" s="68" t="s">
        <v>326</v>
      </c>
    </row>
    <row r="19">
      <c r="A19" s="6" t="s">
        <v>162</v>
      </c>
      <c r="B19" s="6"/>
      <c r="C19" s="6"/>
      <c r="D19" s="6"/>
      <c r="E19" s="28">
        <v>83000.0</v>
      </c>
      <c r="F19" s="9">
        <v>652000.0</v>
      </c>
      <c r="G19" s="6"/>
      <c r="H19" s="41"/>
      <c r="I19" s="38"/>
      <c r="J19" s="34" t="str">
        <f t="shared" ref="J19:M19" si="18">IF(C19="","",C19)</f>
        <v/>
      </c>
      <c r="K19" s="34" t="str">
        <f t="shared" si="18"/>
        <v/>
      </c>
      <c r="L19" s="40">
        <f t="shared" si="18"/>
        <v>83000</v>
      </c>
      <c r="M19" s="40">
        <f t="shared" si="18"/>
        <v>652000</v>
      </c>
      <c r="N19" s="41" t="str">
        <f t="shared" si="5"/>
        <v/>
      </c>
      <c r="O19" s="41" t="s">
        <v>229</v>
      </c>
      <c r="P19" s="41" t="s">
        <v>318</v>
      </c>
      <c r="Q19" s="68" t="s">
        <v>335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P2"/>
    <mergeCell ref="A3:G3"/>
    <mergeCell ref="H3:O3"/>
  </mergeCells>
  <dataValidations>
    <dataValidation type="list" allowBlank="1" sqref="P5:P19">
      <formula1>"Y,N"</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0"/>
    <col customWidth="1" min="2" max="2" width="13.0"/>
    <col customWidth="1" min="3" max="3" width="11.0"/>
    <col customWidth="1" min="4" max="5" width="13.0"/>
    <col customWidth="1" min="6" max="6" width="15.0"/>
    <col customWidth="1" min="7" max="7" width="14.0"/>
    <col customWidth="1" min="8" max="8" width="13.0"/>
  </cols>
  <sheetData>
    <row r="1" ht="27.75" customHeight="1">
      <c r="A1" s="1" t="s">
        <v>301</v>
      </c>
    </row>
    <row r="2" ht="43.5" customHeight="1">
      <c r="A2" s="3" t="s">
        <v>302</v>
      </c>
    </row>
    <row r="4" ht="31.5" customHeight="1">
      <c r="A4" s="11" t="s">
        <v>303</v>
      </c>
      <c r="B4" s="11" t="s">
        <v>304</v>
      </c>
      <c r="C4" s="11" t="s">
        <v>305</v>
      </c>
      <c r="D4" s="11" t="s">
        <v>306</v>
      </c>
      <c r="E4" s="11" t="s">
        <v>307</v>
      </c>
      <c r="F4" s="11" t="s">
        <v>308</v>
      </c>
      <c r="G4" s="11" t="s">
        <v>309</v>
      </c>
      <c r="H4" s="11" t="s">
        <v>310</v>
      </c>
    </row>
    <row r="5">
      <c r="A5" s="13" t="s">
        <v>218</v>
      </c>
      <c r="B5" s="12">
        <f>ROWS('T3a Marine_Stg'!A5:A16)</f>
        <v>12</v>
      </c>
      <c r="C5" s="12">
        <f t="shared" ref="C5:C6" si="1">0</f>
        <v>0</v>
      </c>
      <c r="D5" s="12">
        <f>COUNT('T3a Marine_Stg'!L5:L16)</f>
        <v>12</v>
      </c>
      <c r="E5" s="59">
        <v>12.0</v>
      </c>
      <c r="F5" s="60">
        <f>SUM('T3a Marine_Stg'!L5:L16)</f>
        <v>206500</v>
      </c>
      <c r="G5" s="61">
        <v>206500.0</v>
      </c>
      <c r="H5" s="12" t="str">
        <f t="shared" ref="H5:H7" si="2">IF(AND(D5=E5,ABS(F5-G5)&lt;0.5),"✔ OK","✘ Fix it")</f>
        <v>✔ OK</v>
      </c>
    </row>
    <row r="6">
      <c r="A6" s="13" t="s">
        <v>194</v>
      </c>
      <c r="B6" s="12">
        <f>ROWS('T3b Rail_Stg'!A5:A14)</f>
        <v>10</v>
      </c>
      <c r="C6" s="12">
        <f t="shared" si="1"/>
        <v>0</v>
      </c>
      <c r="D6" s="12">
        <f>COUNT('T3b Rail_Stg'!L5:L14)</f>
        <v>10</v>
      </c>
      <c r="E6" s="59">
        <v>10.0</v>
      </c>
      <c r="F6" s="60">
        <f>SUM('T3b Rail_Stg'!L5:L14)</f>
        <v>295250</v>
      </c>
      <c r="G6" s="61">
        <v>295250.0</v>
      </c>
      <c r="H6" s="12" t="str">
        <f t="shared" si="2"/>
        <v>✔ OK</v>
      </c>
    </row>
    <row r="7">
      <c r="A7" s="13" t="s">
        <v>229</v>
      </c>
      <c r="B7" s="12">
        <f>ROWS('T3c Road_Stg'!A5:A19)</f>
        <v>15</v>
      </c>
      <c r="C7" s="12">
        <f>COUNTIF('T3c Road_Stg'!P5:P19,"N")</f>
        <v>3</v>
      </c>
      <c r="D7" s="12">
        <f>COUNTIF('T3c Road_Stg'!P5:P19,"Y")</f>
        <v>12</v>
      </c>
      <c r="E7" s="59">
        <v>12.0</v>
      </c>
      <c r="F7" s="60">
        <f>SUMIF('T3c Road_Stg'!P5:P19,"Y",'T3c Road_Stg'!L5:L19)</f>
        <v>76900</v>
      </c>
      <c r="G7" s="61">
        <v>76900.0</v>
      </c>
      <c r="H7" s="12" t="str">
        <f t="shared" si="2"/>
        <v>✔ OK</v>
      </c>
    </row>
    <row r="8">
      <c r="A8" s="16" t="s">
        <v>316</v>
      </c>
      <c r="B8" s="17">
        <f t="shared" ref="B8:G8" si="3">SUM(B5:B7)</f>
        <v>37</v>
      </c>
      <c r="C8" s="17">
        <f t="shared" si="3"/>
        <v>3</v>
      </c>
      <c r="D8" s="17">
        <f t="shared" si="3"/>
        <v>34</v>
      </c>
      <c r="E8" s="17">
        <f t="shared" si="3"/>
        <v>34</v>
      </c>
      <c r="F8" s="62">
        <f t="shared" si="3"/>
        <v>578650</v>
      </c>
      <c r="G8" s="62">
        <f t="shared" si="3"/>
        <v>578650</v>
      </c>
      <c r="H8" s="17" t="str">
        <f>IF(AND(D8=34,ABS(F8-578650)&lt;0.5,B8-C8=D8),"✔ OK","✘ Fix it")</f>
        <v>✔ OK</v>
      </c>
    </row>
    <row r="10">
      <c r="A10" s="16" t="s">
        <v>320</v>
      </c>
      <c r="F10" s="64">
        <f>F8/1000</f>
        <v>578.65</v>
      </c>
      <c r="G10" s="65">
        <v>578.65</v>
      </c>
      <c r="H10" s="12" t="str">
        <f>IF(ABS(F10-G10)&lt;0.001,"✔ OK","✘ Fix it")</f>
        <v>✔ OK</v>
      </c>
    </row>
    <row r="11" ht="15.0" customHeight="1">
      <c r="A11" s="66" t="s">
        <v>321</v>
      </c>
      <c r="B11" s="50"/>
      <c r="C11" s="50"/>
      <c r="D11" s="50"/>
      <c r="E11" s="50"/>
      <c r="F11" s="50"/>
      <c r="G11" s="50"/>
      <c r="H11" s="51"/>
    </row>
    <row r="12">
      <c r="A12" s="67" t="s">
        <v>322</v>
      </c>
    </row>
    <row r="14" ht="31.5" customHeight="1">
      <c r="A14" s="11" t="s">
        <v>11</v>
      </c>
      <c r="B14" s="11" t="s">
        <v>218</v>
      </c>
      <c r="C14" s="11" t="s">
        <v>194</v>
      </c>
      <c r="D14" s="11" t="s">
        <v>323</v>
      </c>
      <c r="E14" s="11" t="s">
        <v>316</v>
      </c>
      <c r="F14" s="11" t="s">
        <v>324</v>
      </c>
      <c r="G14" s="11"/>
      <c r="H14" s="11" t="s">
        <v>310</v>
      </c>
    </row>
    <row r="15">
      <c r="A15" s="16" t="s">
        <v>110</v>
      </c>
      <c r="B15" s="12">
        <f>COUNTIF('T3a Marine_Stg'!N5:N16,A15)</f>
        <v>8</v>
      </c>
      <c r="C15" s="12">
        <f>COUNTIF('T3b Rail_Stg'!N5:N14,A15)</f>
        <v>6</v>
      </c>
      <c r="D15" s="12">
        <f>COUNTIFS('T3c Road_Stg'!N5:N19,A15,'T3c Road_Stg'!P5:P19,"Y")</f>
        <v>8</v>
      </c>
      <c r="E15" s="17">
        <f t="shared" ref="E15:E17" si="4">SUM(B15:D15)</f>
        <v>22</v>
      </c>
      <c r="F15" s="59">
        <v>22.0</v>
      </c>
      <c r="G15" s="13"/>
      <c r="H15" s="12" t="str">
        <f t="shared" ref="H15:H17" si="5">IF(E15=F15,"✔ OK","✘ Fix it")</f>
        <v>✔ OK</v>
      </c>
    </row>
    <row r="16">
      <c r="A16" s="16" t="s">
        <v>325</v>
      </c>
      <c r="B16" s="12">
        <f>COUNTIF('T3a Marine_Stg'!N5:N16,A16)</f>
        <v>3</v>
      </c>
      <c r="C16" s="12">
        <f>COUNTIF('T3b Rail_Stg'!N5:N14,A16)</f>
        <v>2</v>
      </c>
      <c r="D16" s="12">
        <f>COUNTIFS('T3c Road_Stg'!N5:N19,A16,'T3c Road_Stg'!P5:P19,"Y")</f>
        <v>3</v>
      </c>
      <c r="E16" s="17">
        <f t="shared" si="4"/>
        <v>8</v>
      </c>
      <c r="F16" s="59">
        <v>8.0</v>
      </c>
      <c r="G16" s="13"/>
      <c r="H16" s="12" t="str">
        <f t="shared" si="5"/>
        <v>✔ OK</v>
      </c>
    </row>
    <row r="17">
      <c r="A17" s="16" t="s">
        <v>336</v>
      </c>
      <c r="B17" s="12">
        <f>COUNTIF('T3a Marine_Stg'!N5:N16,A17)</f>
        <v>1</v>
      </c>
      <c r="C17" s="12">
        <f>COUNTIF('T3b Rail_Stg'!N5:N14,A17)</f>
        <v>2</v>
      </c>
      <c r="D17" s="12">
        <f>COUNTIFS('T3c Road_Stg'!N5:N19,A17,'T3c Road_Stg'!P5:P19,"Y")</f>
        <v>1</v>
      </c>
      <c r="E17" s="17">
        <f t="shared" si="4"/>
        <v>4</v>
      </c>
      <c r="F17" s="59">
        <v>4.0</v>
      </c>
      <c r="G17" s="13"/>
      <c r="H17" s="12" t="str">
        <f t="shared" si="5"/>
        <v>✔ OK</v>
      </c>
    </row>
    <row r="18">
      <c r="A18" s="16" t="s">
        <v>362</v>
      </c>
      <c r="E18" s="12">
        <f>COUNTIF('T3a Marine_Stg'!N5:N16,"?*")+COUNTIF('T3b Rail_Stg'!N5:N14,"?*")+COUNTIFS('T3c Road_Stg'!N5:N19,"?*",'T3c Road_Stg'!P5:P19,"Y")-SUM(E15:E17)</f>
        <v>0</v>
      </c>
      <c r="F18" s="59">
        <v>0.0</v>
      </c>
      <c r="G18" s="13"/>
      <c r="H18" s="12" t="str">
        <f>IF(AND(E18=0,E15+E16+E17=34),"✔ OK","✘ Fix it")</f>
        <v>✔ OK</v>
      </c>
    </row>
    <row r="20">
      <c r="A20" s="16" t="s">
        <v>364</v>
      </c>
      <c r="B20" s="13" t="s">
        <v>365</v>
      </c>
      <c r="F20" s="72">
        <f>'T3a Marine_Stg'!I7</f>
        <v>46056</v>
      </c>
      <c r="G20" s="73">
        <f>DATE(2026,2,3)</f>
        <v>46056</v>
      </c>
      <c r="H20" s="12" t="str">
        <f t="shared" ref="H20:H21" si="6">IF(F20=G20,"✔ OK","✘ Fix it")</f>
        <v>✔ OK</v>
      </c>
    </row>
    <row r="21" ht="15.75" customHeight="1">
      <c r="B21" s="13" t="s">
        <v>370</v>
      </c>
      <c r="F21" s="72">
        <f>'T3a Marine_Stg'!I16</f>
        <v>46066</v>
      </c>
      <c r="G21" s="73">
        <f>DATE(2026,2,13)</f>
        <v>46066</v>
      </c>
      <c r="H21" s="12" t="str">
        <f t="shared" si="6"/>
        <v>✔ OK</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
    <mergeCell ref="A11:H11"/>
  </mergeCells>
  <conditionalFormatting sqref="H5:H21">
    <cfRule type="expression" dxfId="7" priority="1">
      <formula>LEFT(H5,1)="✔"</formula>
    </cfRule>
  </conditionalFormatting>
  <conditionalFormatting sqref="H5:H21">
    <cfRule type="expression" dxfId="8" priority="2">
      <formula>LEFT(H5,1)="✘"</formula>
    </cfRule>
  </conditionalFormatting>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0.0"/>
    <col customWidth="1" min="2" max="2" width="34.0"/>
    <col customWidth="1" min="3" max="3" width="38.0"/>
    <col customWidth="1" min="4" max="4" width="32.0"/>
    <col customWidth="1" min="5" max="5" width="30.0"/>
    <col customWidth="1" min="6" max="6" width="8.71"/>
  </cols>
  <sheetData>
    <row r="1" ht="27.75" customHeight="1">
      <c r="A1" s="1" t="s">
        <v>327</v>
      </c>
    </row>
    <row r="2" ht="43.5" customHeight="1">
      <c r="A2" s="3" t="s">
        <v>328</v>
      </c>
    </row>
    <row r="4" ht="31.5" customHeight="1">
      <c r="A4" s="11" t="s">
        <v>329</v>
      </c>
      <c r="B4" s="11" t="s">
        <v>330</v>
      </c>
      <c r="C4" s="11" t="s">
        <v>331</v>
      </c>
      <c r="D4" s="11" t="s">
        <v>332</v>
      </c>
      <c r="E4" s="11" t="s">
        <v>333</v>
      </c>
    </row>
    <row r="5" ht="57.75" customHeight="1">
      <c r="A5" s="69" t="s">
        <v>334</v>
      </c>
      <c r="B5" s="69" t="s">
        <v>337</v>
      </c>
      <c r="C5" s="69" t="s">
        <v>338</v>
      </c>
      <c r="D5" s="69" t="s">
        <v>339</v>
      </c>
      <c r="E5" s="69" t="s">
        <v>340</v>
      </c>
    </row>
    <row r="6" ht="57.75" customHeight="1">
      <c r="A6" s="70" t="s">
        <v>341</v>
      </c>
      <c r="B6" s="70" t="s">
        <v>342</v>
      </c>
      <c r="C6" s="70" t="s">
        <v>343</v>
      </c>
      <c r="D6" s="70" t="s">
        <v>344</v>
      </c>
      <c r="E6" s="70" t="s">
        <v>345</v>
      </c>
    </row>
    <row r="7" ht="57.75" customHeight="1">
      <c r="A7" s="69" t="s">
        <v>346</v>
      </c>
      <c r="B7" s="69" t="s">
        <v>347</v>
      </c>
      <c r="C7" s="69" t="s">
        <v>348</v>
      </c>
      <c r="D7" s="69" t="s">
        <v>349</v>
      </c>
      <c r="E7" s="69" t="s">
        <v>350</v>
      </c>
    </row>
    <row r="8" ht="57.75" customHeight="1">
      <c r="A8" s="70" t="s">
        <v>351</v>
      </c>
      <c r="B8" s="70" t="s">
        <v>352</v>
      </c>
      <c r="C8" s="70" t="s">
        <v>353</v>
      </c>
      <c r="D8" s="70" t="s">
        <v>354</v>
      </c>
      <c r="E8" s="70" t="s">
        <v>355</v>
      </c>
    </row>
    <row r="9" ht="57.75" customHeight="1">
      <c r="A9" s="69" t="s">
        <v>356</v>
      </c>
      <c r="B9" s="69" t="s">
        <v>357</v>
      </c>
      <c r="C9" s="69" t="s">
        <v>358</v>
      </c>
      <c r="D9" s="69" t="s">
        <v>359</v>
      </c>
      <c r="E9" s="69" t="s">
        <v>360</v>
      </c>
    </row>
    <row r="11" ht="15.0" customHeight="1">
      <c r="A11" s="49" t="s">
        <v>361</v>
      </c>
      <c r="B11" s="50"/>
      <c r="C11" s="50"/>
      <c r="D11" s="50"/>
      <c r="E11" s="51"/>
    </row>
    <row r="12" ht="30.0" customHeight="1">
      <c r="A12" s="71" t="s">
        <v>363</v>
      </c>
      <c r="B12" s="54"/>
      <c r="C12" s="54"/>
      <c r="D12" s="54"/>
      <c r="E12"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F2"/>
    <mergeCell ref="A11:E11"/>
    <mergeCell ref="A12:E12"/>
  </mergeCell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8.0"/>
    <col customWidth="1" min="2" max="7" width="11.0"/>
    <col customWidth="1" min="8" max="8" width="10.57"/>
    <col customWidth="1" min="9" max="9" width="11.0"/>
    <col customWidth="1" min="10" max="11" width="8.71"/>
  </cols>
  <sheetData>
    <row r="1" ht="27.75" customHeight="1">
      <c r="A1" s="1" t="s">
        <v>366</v>
      </c>
    </row>
    <row r="2" ht="43.5" customHeight="1">
      <c r="A2" s="3" t="s">
        <v>367</v>
      </c>
    </row>
    <row r="4" ht="31.5" customHeight="1">
      <c r="A4" s="11" t="s">
        <v>368</v>
      </c>
      <c r="B4" s="11" t="s">
        <v>179</v>
      </c>
      <c r="C4" s="11" t="s">
        <v>369</v>
      </c>
      <c r="D4" s="11" t="s">
        <v>371</v>
      </c>
      <c r="E4" s="11" t="s">
        <v>372</v>
      </c>
      <c r="F4" s="11" t="s">
        <v>373</v>
      </c>
      <c r="G4" s="11" t="s">
        <v>374</v>
      </c>
      <c r="H4" s="11" t="s">
        <v>375</v>
      </c>
      <c r="I4" s="11" t="s">
        <v>376</v>
      </c>
    </row>
    <row r="5">
      <c r="A5" s="74" t="s">
        <v>377</v>
      </c>
      <c r="B5" s="75" t="s">
        <v>378</v>
      </c>
      <c r="C5" s="75" t="s">
        <v>378</v>
      </c>
      <c r="D5" s="75" t="s">
        <v>378</v>
      </c>
      <c r="E5" s="75" t="s">
        <v>378</v>
      </c>
      <c r="F5" s="76"/>
      <c r="G5" s="75" t="s">
        <v>378</v>
      </c>
      <c r="H5" s="75" t="s">
        <v>378</v>
      </c>
      <c r="I5" s="75">
        <v>6.0</v>
      </c>
    </row>
    <row r="6">
      <c r="A6" s="77" t="s">
        <v>379</v>
      </c>
      <c r="B6" s="78" t="s">
        <v>378</v>
      </c>
      <c r="C6" s="78" t="s">
        <v>378</v>
      </c>
      <c r="D6" s="78" t="s">
        <v>378</v>
      </c>
      <c r="E6" s="79"/>
      <c r="F6" s="79"/>
      <c r="G6" s="79"/>
      <c r="H6" s="78" t="s">
        <v>378</v>
      </c>
      <c r="I6" s="78">
        <v>4.0</v>
      </c>
    </row>
    <row r="7">
      <c r="A7" s="74" t="s">
        <v>380</v>
      </c>
      <c r="B7" s="75" t="s">
        <v>378</v>
      </c>
      <c r="C7" s="76"/>
      <c r="D7" s="76"/>
      <c r="E7" s="75" t="s">
        <v>378</v>
      </c>
      <c r="F7" s="76"/>
      <c r="G7" s="76"/>
      <c r="H7" s="76"/>
      <c r="I7" s="75">
        <v>2.0</v>
      </c>
    </row>
    <row r="8">
      <c r="A8" s="77" t="s">
        <v>381</v>
      </c>
      <c r="B8" s="78" t="s">
        <v>378</v>
      </c>
      <c r="C8" s="79"/>
      <c r="D8" s="79"/>
      <c r="E8" s="78" t="s">
        <v>378</v>
      </c>
      <c r="F8" s="78" t="s">
        <v>378</v>
      </c>
      <c r="G8" s="78" t="s">
        <v>378</v>
      </c>
      <c r="H8" s="79"/>
      <c r="I8" s="78">
        <v>4.0</v>
      </c>
    </row>
    <row r="9">
      <c r="A9" s="74" t="s">
        <v>382</v>
      </c>
      <c r="B9" s="75" t="s">
        <v>378</v>
      </c>
      <c r="C9" s="76"/>
      <c r="D9" s="75" t="s">
        <v>378</v>
      </c>
      <c r="E9" s="75" t="s">
        <v>378</v>
      </c>
      <c r="F9" s="75" t="s">
        <v>378</v>
      </c>
      <c r="G9" s="75" t="s">
        <v>378</v>
      </c>
      <c r="H9" s="76"/>
      <c r="I9" s="75">
        <v>5.0</v>
      </c>
    </row>
    <row r="10">
      <c r="A10" s="77" t="s">
        <v>383</v>
      </c>
      <c r="B10" s="78" t="s">
        <v>378</v>
      </c>
      <c r="C10" s="78" t="s">
        <v>378</v>
      </c>
      <c r="D10" s="79"/>
      <c r="E10" s="79"/>
      <c r="F10" s="79"/>
      <c r="G10" s="79"/>
      <c r="H10" s="79"/>
      <c r="I10" s="78">
        <v>2.0</v>
      </c>
    </row>
    <row r="11">
      <c r="A11" s="80" t="s">
        <v>384</v>
      </c>
      <c r="B11" s="81">
        <v>6.0</v>
      </c>
      <c r="C11" s="81">
        <v>3.0</v>
      </c>
      <c r="D11" s="81">
        <v>3.0</v>
      </c>
      <c r="E11" s="81">
        <v>4.0</v>
      </c>
      <c r="F11" s="81">
        <v>2.0</v>
      </c>
      <c r="G11" s="81">
        <v>3.0</v>
      </c>
      <c r="H11" s="81">
        <v>2.0</v>
      </c>
      <c r="I11" s="76"/>
    </row>
    <row r="12">
      <c r="A12" s="67" t="s">
        <v>385</v>
      </c>
    </row>
    <row r="14" ht="15.0" customHeight="1">
      <c r="A14" s="49" t="s">
        <v>386</v>
      </c>
      <c r="B14" s="50"/>
      <c r="C14" s="50"/>
      <c r="D14" s="50"/>
      <c r="E14" s="50"/>
      <c r="F14" s="50"/>
      <c r="G14" s="50"/>
      <c r="H14" s="50"/>
      <c r="I14" s="51"/>
    </row>
    <row r="15" ht="39.75" customHeight="1">
      <c r="A15" s="82" t="s">
        <v>387</v>
      </c>
      <c r="B15" s="54"/>
      <c r="C15" s="54"/>
      <c r="D15" s="54"/>
      <c r="E15" s="54"/>
      <c r="F15" s="54"/>
      <c r="G15" s="54"/>
      <c r="H15" s="54"/>
      <c r="I15" s="55"/>
    </row>
    <row r="16" ht="15.0" customHeight="1">
      <c r="A16" s="49" t="s">
        <v>388</v>
      </c>
      <c r="B16" s="50"/>
      <c r="C16" s="50"/>
      <c r="D16" s="50"/>
      <c r="E16" s="50"/>
      <c r="F16" s="50"/>
      <c r="G16" s="50"/>
      <c r="H16" s="50"/>
      <c r="I16" s="51"/>
    </row>
    <row r="17" ht="38.25" customHeight="1">
      <c r="A17" s="82" t="s">
        <v>389</v>
      </c>
      <c r="B17" s="54"/>
      <c r="C17" s="54"/>
      <c r="D17" s="54"/>
      <c r="E17" s="54"/>
      <c r="F17" s="54"/>
      <c r="G17" s="54"/>
      <c r="H17" s="54"/>
      <c r="I17" s="55"/>
      <c r="K17" s="83"/>
    </row>
    <row r="18" ht="15.0" customHeight="1">
      <c r="A18" s="49" t="s">
        <v>390</v>
      </c>
      <c r="B18" s="50"/>
      <c r="C18" s="50"/>
      <c r="D18" s="50"/>
      <c r="E18" s="50"/>
      <c r="F18" s="50"/>
      <c r="G18" s="50"/>
      <c r="H18" s="50"/>
      <c r="I18" s="51"/>
    </row>
    <row r="19" ht="36.75" customHeight="1">
      <c r="A19" s="82" t="s">
        <v>391</v>
      </c>
      <c r="B19" s="54"/>
      <c r="C19" s="54"/>
      <c r="D19" s="54"/>
      <c r="E19" s="54"/>
      <c r="F19" s="54"/>
      <c r="G19" s="54"/>
      <c r="H19" s="54"/>
      <c r="I19" s="55"/>
    </row>
    <row r="20" ht="15.0" customHeight="1">
      <c r="A20" s="49" t="s">
        <v>392</v>
      </c>
      <c r="B20" s="50"/>
      <c r="C20" s="50"/>
      <c r="D20" s="50"/>
      <c r="E20" s="50"/>
      <c r="F20" s="50"/>
      <c r="G20" s="50"/>
      <c r="H20" s="50"/>
      <c r="I20" s="51"/>
    </row>
    <row r="21" ht="37.5" customHeight="1">
      <c r="A21" s="53" t="s">
        <v>393</v>
      </c>
      <c r="B21" s="54"/>
      <c r="C21" s="54"/>
      <c r="D21" s="54"/>
      <c r="E21" s="54"/>
      <c r="F21" s="54"/>
      <c r="G21" s="54"/>
      <c r="H21" s="54"/>
      <c r="I21" s="5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0:I20"/>
    <mergeCell ref="A21:I21"/>
    <mergeCell ref="A2:I2"/>
    <mergeCell ref="A14:I14"/>
    <mergeCell ref="A15:I15"/>
    <mergeCell ref="A16:I16"/>
    <mergeCell ref="A17:I17"/>
    <mergeCell ref="A18:I18"/>
    <mergeCell ref="A19:I19"/>
  </mergeCells>
  <printOptions/>
  <pageMargins bottom="1.0" footer="0.0" header="0.0" left="0.75" right="0.75" top="1.0"/>
  <pageSetup fitToHeight="0"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
    <col customWidth="1" min="2" max="2" width="70.0"/>
    <col customWidth="1" min="3" max="3" width="20.0"/>
    <col customWidth="1" min="4" max="4" width="79.57"/>
    <col customWidth="1" min="5" max="6" width="8.71"/>
  </cols>
  <sheetData>
    <row r="1" ht="27.75" customHeight="1">
      <c r="A1" s="1" t="s">
        <v>394</v>
      </c>
    </row>
    <row r="2" ht="43.5" customHeight="1">
      <c r="A2" s="3" t="s">
        <v>395</v>
      </c>
    </row>
    <row r="4" ht="31.5" customHeight="1">
      <c r="A4" s="11" t="s">
        <v>37</v>
      </c>
      <c r="B4" s="11" t="s">
        <v>396</v>
      </c>
      <c r="C4" s="11" t="s">
        <v>397</v>
      </c>
      <c r="D4" s="11" t="s">
        <v>398</v>
      </c>
    </row>
    <row r="5" ht="31.5" customHeight="1">
      <c r="A5" s="12">
        <v>1.0</v>
      </c>
      <c r="B5" s="13" t="s">
        <v>399</v>
      </c>
      <c r="C5" s="84" t="s">
        <v>400</v>
      </c>
      <c r="D5" s="85" t="s">
        <v>401</v>
      </c>
    </row>
    <row r="6" ht="31.5" customHeight="1">
      <c r="A6" s="12">
        <v>2.0</v>
      </c>
      <c r="B6" s="13" t="s">
        <v>402</v>
      </c>
      <c r="C6" s="84" t="s">
        <v>403</v>
      </c>
      <c r="D6" s="86" t="s">
        <v>404</v>
      </c>
    </row>
    <row r="7" ht="31.5" customHeight="1">
      <c r="A7" s="12">
        <v>3.0</v>
      </c>
      <c r="B7" s="13" t="s">
        <v>405</v>
      </c>
      <c r="C7" s="84" t="s">
        <v>400</v>
      </c>
      <c r="D7" s="87" t="s">
        <v>406</v>
      </c>
    </row>
    <row r="8" ht="31.5" customHeight="1">
      <c r="A8" s="12">
        <v>4.0</v>
      </c>
      <c r="B8" s="13" t="s">
        <v>407</v>
      </c>
      <c r="C8" s="84" t="s">
        <v>403</v>
      </c>
      <c r="D8" s="86" t="s">
        <v>408</v>
      </c>
    </row>
    <row r="9" ht="31.5" customHeight="1">
      <c r="A9" s="12">
        <v>5.0</v>
      </c>
      <c r="B9" s="13" t="s">
        <v>409</v>
      </c>
      <c r="C9" s="84" t="s">
        <v>403</v>
      </c>
      <c r="D9" s="87" t="s">
        <v>410</v>
      </c>
    </row>
    <row r="10" ht="31.5" customHeight="1">
      <c r="A10" s="12">
        <v>6.0</v>
      </c>
      <c r="B10" s="13" t="s">
        <v>411</v>
      </c>
      <c r="C10" s="84" t="s">
        <v>400</v>
      </c>
      <c r="D10" s="86" t="s">
        <v>412</v>
      </c>
    </row>
    <row r="11" ht="31.5" customHeight="1">
      <c r="A11" s="12">
        <v>7.0</v>
      </c>
      <c r="B11" s="13" t="s">
        <v>413</v>
      </c>
      <c r="C11" s="84" t="s">
        <v>400</v>
      </c>
      <c r="D11" s="87" t="s">
        <v>414</v>
      </c>
    </row>
    <row r="12" ht="31.5" customHeight="1">
      <c r="A12" s="12">
        <v>8.0</v>
      </c>
      <c r="B12" s="13" t="s">
        <v>415</v>
      </c>
      <c r="C12" s="84" t="s">
        <v>403</v>
      </c>
      <c r="D12" s="86" t="s">
        <v>416</v>
      </c>
    </row>
    <row r="13" ht="31.5" customHeight="1">
      <c r="A13" s="12">
        <v>9.0</v>
      </c>
      <c r="B13" s="13" t="s">
        <v>417</v>
      </c>
      <c r="C13" s="84" t="s">
        <v>400</v>
      </c>
      <c r="D13" s="87" t="s">
        <v>418</v>
      </c>
    </row>
    <row r="14" ht="31.5" customHeight="1">
      <c r="A14" s="12">
        <v>10.0</v>
      </c>
      <c r="B14" s="13" t="s">
        <v>419</v>
      </c>
      <c r="C14" s="84" t="s">
        <v>420</v>
      </c>
      <c r="D14" s="86"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dataValidations>
    <dataValidation type="list" allowBlank="1" sqref="C5:C14">
      <formula1>"Inmon,Kimball,Hybrid"</formula1>
    </dataValidation>
  </dataValidations>
  <printOptions/>
  <pageMargins bottom="1.0" footer="0.0" header="0.0" left="0.75" right="0.75" top="1.0"/>
  <pageSetup fitToHeight="0" orientation="landscape"/>
  <drawing r:id="rId1"/>
  <tableParts count="1">
    <tablePart r:id="rId3"/>
  </tableParts>
</worksheet>
</file>